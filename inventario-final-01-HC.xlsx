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ómo usar" sheetId="1" r:id="rId5"/>
    <sheet state="visible" name="Inventario final" sheetId="2" r:id="rId6"/>
    <sheet state="visible" name="Qué falta por campo" sheetId="3" r:id="rId7"/>
    <sheet state="visible" name="Completar por proveedor" sheetId="4" r:id="rId8"/>
    <sheet state="visible" name="Sin categoría" sheetId="5" r:id="rId9"/>
    <sheet state="visible" name="Altas resueltas" sheetId="6" r:id="rId10"/>
    <sheet state="visible" name="Backlog" sheetId="7" r:id="rId11"/>
    <sheet state="visible" name="A confirmar" sheetId="8" r:id="rId12"/>
  </sheets>
  <definedNames>
    <definedName hidden="1" localSheetId="1" name="_xlnm._FilterDatabase">'Inventario final'!$A$4:$AA$153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X4">
      <text>
        <t xml:space="preserve">Proporción de los 10 campos que definimos como necesarios para un SKU: categoría, precio, stock, alto, peso, lead time, reponible, materiales, descripción y foto.</t>
      </text>
    </comment>
    <comment authorId="0" ref="Y4">
      <text>
        <t xml:space="preserve">SÍ cuando están los 6 bloqueantes duros: categoría, precio, stock, peso, descripción y foto. Sin peso no hay cotización de envío; sin foto y descripción no hay página de producto.</t>
      </text>
    </comment>
  </commentList>
</comments>
</file>

<file path=xl/sharedStrings.xml><?xml version="1.0" encoding="utf-8"?>
<sst xmlns="http://schemas.openxmlformats.org/spreadsheetml/2006/main" count="1985" uniqueCount="921">
  <si>
    <t>Inventario final Nº1 — Hermanas Caradonti</t>
  </si>
  <si>
    <t>Armado el</t>
  </si>
  <si>
    <t>1 de octubre de 2026, con el recorrido físico del local</t>
  </si>
  <si>
    <t>Qué NO es</t>
  </si>
  <si>
    <t>No es el inventario completo del local. Faltan 624 items sin revisar, casi todos sin etiqueta: eso lo tiene que hacer la dependienta.</t>
  </si>
  <si>
    <t>LAS HOJAS</t>
  </si>
  <si>
    <t>Inventario final</t>
  </si>
  <si>
    <t>Qué falta por campo</t>
  </si>
  <si>
    <t>Completar por proveedor</t>
  </si>
  <si>
    <t>Sin categoría</t>
  </si>
  <si>
    <t>Altas resueltas</t>
  </si>
  <si>
    <t>Backlog</t>
  </si>
  <si>
    <t>Qué falta para que estos 149 se puedan publicar</t>
  </si>
  <si>
    <t>5 objetos que el inventario declaraba y no estaban en el local.</t>
  </si>
  <si>
    <t>A confirmar</t>
  </si>
  <si>
    <t>Inventario final Nº1 — 149 objetos verificados en el local</t>
  </si>
  <si>
    <t>Dudas concretas que necesitan una respuesta humana antes de publicar.</t>
  </si>
  <si>
    <t>Ordenado por cuántos productos bloquea. Los primeros cinco bloquean los 149 por igual: son cinco tareas, no 149 problemas.</t>
  </si>
  <si>
    <t>CÓMO SE LLENA</t>
  </si>
  <si>
    <t>Celdas amarillas</t>
  </si>
  <si>
    <t>Son las editables. El resto sale del recorrido o del catálogo: no tocarlas acá.</t>
  </si>
  <si>
    <t>Columnas amarillas: para completar. Las demás salen del recorrido o del catálogo maestro.</t>
  </si>
  <si>
    <t>Orden sugerido</t>
  </si>
  <si>
    <t>1) Peso por proveedor  2) Categorías de los 25  3) Lead time por proveedor  4) Stock real  5) Fotos  6) Descripciones</t>
  </si>
  <si>
    <t>Regla de publicación</t>
  </si>
  <si>
    <t>Un producto se publica cuando está al 100%. La columna "Listo para publicar" lo calcula sola.</t>
  </si>
  <si>
    <t>Precio</t>
  </si>
  <si>
    <t>Campo</t>
  </si>
  <si>
    <t>Ya normalizado a pesos con IVA. Los dólares están convertidos a $1.535. El TC vive en la hoja de precios, no acá.</t>
  </si>
  <si>
    <t>SKU</t>
  </si>
  <si>
    <t>Completos</t>
  </si>
  <si>
    <t>Faltan</t>
  </si>
  <si>
    <t>Bloquea publicar</t>
  </si>
  <si>
    <t>Quién lo resuelve</t>
  </si>
  <si>
    <t>Cómo</t>
  </si>
  <si>
    <t>Nombre</t>
  </si>
  <si>
    <t>Categoría</t>
  </si>
  <si>
    <t>Proveedor</t>
  </si>
  <si>
    <t>Peso kg</t>
  </si>
  <si>
    <t>Régimen</t>
  </si>
  <si>
    <t>Código proveedor</t>
  </si>
  <si>
    <t>Precio final (ARS c/IVA)</t>
  </si>
  <si>
    <t>Costo (ARS)</t>
  </si>
  <si>
    <t>Margen %</t>
  </si>
  <si>
    <t>Stock real contado</t>
  </si>
  <si>
    <t>Stock declarado (viejo)</t>
  </si>
  <si>
    <t>Alto cm</t>
  </si>
  <si>
    <t>Ancho cm</t>
  </si>
  <si>
    <t>Prof cm</t>
  </si>
  <si>
    <t>Lead time días</t>
  </si>
  <si>
    <t>Reponible</t>
  </si>
  <si>
    <t>Materiales</t>
  </si>
  <si>
    <t>Descripción de venta</t>
  </si>
  <si>
    <t>Archivo de foto</t>
  </si>
  <si>
    <t>Identificador URL</t>
  </si>
  <si>
    <t>Ubicación en el local</t>
  </si>
  <si>
    <t>Zona</t>
  </si>
  <si>
    <t>Peso y lead time se completan acá, no producto por producto</t>
  </si>
  <si>
    <t>Principio acordado en la primera reunión: lead time, capacidad y reposición son atributos del proveedor. 28 proveedores cubren los 149 productos.</t>
  </si>
  <si>
    <t>Completitud</t>
  </si>
  <si>
    <t>Listo para publicar</t>
  </si>
  <si>
    <t>Origen</t>
  </si>
  <si>
    <t>Nota del recorrido</t>
  </si>
  <si>
    <t>HC-BAN-001</t>
  </si>
  <si>
    <t>Productos</t>
  </si>
  <si>
    <t>% del inventario</t>
  </si>
  <si>
    <t>Régimen que usa</t>
  </si>
  <si>
    <t>Azucarera Salta alpaca metal &amp; cuero chivo #1 - Cremera Salta alpaca metal &amp; cuero chivo #1 - Bandeja Salta rect alpaca metal &amp; cuero chivo #1</t>
  </si>
  <si>
    <t>Bandejas</t>
  </si>
  <si>
    <t>Contacto</t>
  </si>
  <si>
    <t>HC AIRES DEL SUR</t>
  </si>
  <si>
    <t>Peso: cómo lo informan</t>
  </si>
  <si>
    <t>HC KBB</t>
  </si>
  <si>
    <t>SÍ</t>
  </si>
  <si>
    <t>Las socias / los proveedores</t>
  </si>
  <si>
    <t>Es el dato que bloquea el checkout: sin peso Tiendanube no cotiza envío. Se completa por proveedor, no de a uno.</t>
  </si>
  <si>
    <t>Disponible</t>
  </si>
  <si>
    <t>Foto</t>
  </si>
  <si>
    <t>HC/ADS48</t>
  </si>
  <si>
    <t>Habitante Studio</t>
  </si>
  <si>
    <t>Pedir la carpeta HC HOME de Dropbox copiada a Drive. Convención de nombres: SKU-1.jpg.</t>
  </si>
  <si>
    <t>Nosotros</t>
  </si>
  <si>
    <t>Con el documento de voz y textos ya cerrado. 149 textos cortos, se puede hacer por lote y categoría.</t>
  </si>
  <si>
    <t>HC SOFI SUAYA</t>
  </si>
  <si>
    <t>no</t>
  </si>
  <si>
    <t>1</t>
  </si>
  <si>
    <t>Los proveedores</t>
  </si>
  <si>
    <t>Atributo del proveedor. 28 proveedores, 5 cubren 88 de los 149.</t>
  </si>
  <si>
    <t>Las socias</t>
  </si>
  <si>
    <t>Necesario para la ficha, no para publicar.</t>
  </si>
  <si>
    <t>FERMOB</t>
  </si>
  <si>
    <t>azucarera-salta-alpaca-metal-cuero-chivo-1-cremera-salta-alpaca-metal-</t>
  </si>
  <si>
    <t>Deposito</t>
  </si>
  <si>
    <t>Depósito</t>
  </si>
  <si>
    <t>Disponible (consignación)</t>
  </si>
  <si>
    <t>HC</t>
  </si>
  <si>
    <t>Define si el stock va vacío (infinito) o con número en Tiendanube.</t>
  </si>
  <si>
    <t>Medidas</t>
  </si>
  <si>
    <t>HC PAIS TEXTIL PERU</t>
  </si>
  <si>
    <t>HC DUKAAN</t>
  </si>
  <si>
    <t>Medir en el local</t>
  </si>
  <si>
    <t>117 sin medidas. Alto/ancho/prof van en columnas separadas para Tiendanube.</t>
  </si>
  <si>
    <t>LIMO MARMOL</t>
  </si>
  <si>
    <t>Disponible · Disponible (consignación)</t>
  </si>
  <si>
    <t>El recorrido</t>
  </si>
  <si>
    <t>Esta pasada registró presencia, no cantidad. Decisión del 24/9: primero saber qué está.</t>
  </si>
  <si>
    <t>HC HUS COMPRADO</t>
  </si>
  <si>
    <t>HC MISHKA</t>
  </si>
  <si>
    <t>25 sin categoría, con sugerencia en su propia hoja.</t>
  </si>
  <si>
    <t>HC JESUS NUDOS</t>
  </si>
  <si>
    <t>25 productos sin categoría</t>
  </si>
  <si>
    <t>CSALOM ATELIER</t>
  </si>
  <si>
    <t>La columna "Mi sugerencia" es inferencia mía a partir del nombre y el proveedor, no un dato. Aceptar o cambiar en la columna amarilla.</t>
  </si>
  <si>
    <t>Sólo 1 producto sin precio.</t>
  </si>
  <si>
    <t>recorrido · marcado ESTÁ</t>
  </si>
  <si>
    <t>Productos listos para publicar hoy</t>
  </si>
  <si>
    <t>JULIAN PREBISCH</t>
  </si>
  <si>
    <t>HC-BAN-002</t>
  </si>
  <si>
    <t>BANDEJA DECO LODHI VASSA 25,5X19X2 CM</t>
  </si>
  <si>
    <t>Mi sugerencia</t>
  </si>
  <si>
    <t>[FAD08TR2614]</t>
  </si>
  <si>
    <t>LILA HUME (ISA)</t>
  </si>
  <si>
    <t>Categoría definitiva</t>
  </si>
  <si>
    <t>HC-GEN-001</t>
  </si>
  <si>
    <t>AKAI LARGO</t>
  </si>
  <si>
    <t>TALLER POSIBLE</t>
  </si>
  <si>
    <t>0</t>
  </si>
  <si>
    <t>Completitud promedio</t>
  </si>
  <si>
    <t>Muebles</t>
  </si>
  <si>
    <t>bandeja-deco-lodhi-vassa-25-5x19x2-cm</t>
  </si>
  <si>
    <t>Sin ubicación declarada</t>
  </si>
  <si>
    <t>FABIANA BARREDA</t>
  </si>
  <si>
    <t>DESIREE CERAMISTA</t>
  </si>
  <si>
    <t>Valor de lista del inventario verificado (1 unidad por SKU)</t>
  </si>
  <si>
    <t>RUFFO</t>
  </si>
  <si>
    <t>HC-GEN-002</t>
  </si>
  <si>
    <t>BACKGAMMON</t>
  </si>
  <si>
    <t>Objetos y deco</t>
  </si>
  <si>
    <t>HC DIAZ ORTIZ</t>
  </si>
  <si>
    <t>HC-GEN-003</t>
  </si>
  <si>
    <t>revusar precio</t>
  </si>
  <si>
    <t>Butaca Umbral</t>
  </si>
  <si>
    <t>HC-BAN-003</t>
  </si>
  <si>
    <t>Bandeja Chalten Pirex rect. pino y alpaca #1</t>
  </si>
  <si>
    <t>SIN PROVEEDOR</t>
  </si>
  <si>
    <t>HC/ADS16</t>
  </si>
  <si>
    <t>HC-GEN-004</t>
  </si>
  <si>
    <t>CABALLITO</t>
  </si>
  <si>
    <t>HC-GEN-005</t>
  </si>
  <si>
    <t>CENICEROS</t>
  </si>
  <si>
    <t>SANTIAGO DEL CAMPO</t>
  </si>
  <si>
    <t>bandeja-chalten-pirex-rect-pino-y-alpaca-1</t>
  </si>
  <si>
    <t>HC-GEN-006</t>
  </si>
  <si>
    <t>showroom</t>
  </si>
  <si>
    <t>Casitas acrilico - chicas</t>
  </si>
  <si>
    <t>Showroom</t>
  </si>
  <si>
    <t>UGO MARMOLES NATURALES</t>
  </si>
  <si>
    <t>HC-GEN-007</t>
  </si>
  <si>
    <t>Casitas acrilicos - grandes</t>
  </si>
  <si>
    <t>HC NESTOR MEZZA</t>
  </si>
  <si>
    <t>HC-GEN-008</t>
  </si>
  <si>
    <t>Cilindro largo (78x18diam)</t>
  </si>
  <si>
    <t>A pedido</t>
  </si>
  <si>
    <t>HC-GEN-009</t>
  </si>
  <si>
    <t>EUGENIA BRACONY</t>
  </si>
  <si>
    <t>Cilindro mediano (58x18diam)</t>
  </si>
  <si>
    <t>HC-BAN-004</t>
  </si>
  <si>
    <t>Bandeja Chalten Pirex rect. pino y alpaca #3</t>
  </si>
  <si>
    <t>HC-GEN-010</t>
  </si>
  <si>
    <t>Cojin Yana Camino blanco y negro 30X45</t>
  </si>
  <si>
    <t>HC/ADS18</t>
  </si>
  <si>
    <t>Textiles</t>
  </si>
  <si>
    <t>HC-GEN-011</t>
  </si>
  <si>
    <t>Es valor de lista, no de stock: la cantidad real todavía no se contó.</t>
  </si>
  <si>
    <t>Cojin Yana alpaca y algodón con flecos 50X50</t>
  </si>
  <si>
    <t>2</t>
  </si>
  <si>
    <t>bandeja-chalten-pirex-rect-pino-y-alpaca-3</t>
  </si>
  <si>
    <t>HC-GEN-012</t>
  </si>
  <si>
    <t>1 showroom, 1 placard fondo</t>
  </si>
  <si>
    <t>Showroom + placard</t>
  </si>
  <si>
    <t>Cojin Yana block blanco y negro 30X45</t>
  </si>
  <si>
    <t>HC-GEN-013</t>
  </si>
  <si>
    <t>Cojin Yana rayas verticales blanco y negro 30X45</t>
  </si>
  <si>
    <t>OROPEL</t>
  </si>
  <si>
    <t>HC-BAN-005</t>
  </si>
  <si>
    <t>Bandeja Glaciar Bar, alpaca y onyx blanco #2</t>
  </si>
  <si>
    <t>HC-GEN-014</t>
  </si>
  <si>
    <t>GALLO altura 55cm/ 35x30</t>
  </si>
  <si>
    <t>HC/ADS19</t>
  </si>
  <si>
    <t>SANTIAGO CARRERA</t>
  </si>
  <si>
    <t>HC-GEN-015</t>
  </si>
  <si>
    <t>LIBRO CHUBUT</t>
  </si>
  <si>
    <t>Libros</t>
  </si>
  <si>
    <t>bandeja-glaciar-bar-alpaca-y-onyx-blanco-2</t>
  </si>
  <si>
    <t>deposito arriba</t>
  </si>
  <si>
    <t>HC-GEN-016</t>
  </si>
  <si>
    <t>LOUNGEARMCHAIR LUXEMBOURG</t>
  </si>
  <si>
    <t>HC KRIKOR</t>
  </si>
  <si>
    <t>HC-GEN-017</t>
  </si>
  <si>
    <t>NUDOS L 45X45 APROX</t>
  </si>
  <si>
    <t>HC-GEN-018</t>
  </si>
  <si>
    <t>HC-BAN-006</t>
  </si>
  <si>
    <t>PAVO altura 25cm/ 40X40</t>
  </si>
  <si>
    <t>SIXTA</t>
  </si>
  <si>
    <t>Bandeja doble blanca jose luis</t>
  </si>
  <si>
    <t>HC-GEN-019</t>
  </si>
  <si>
    <t>PETACA</t>
  </si>
  <si>
    <t>HC/JLC07</t>
  </si>
  <si>
    <t>Vajilla</t>
  </si>
  <si>
    <t>HC-GEN-020</t>
  </si>
  <si>
    <t>Par Sujeta libros salta - Alpaca y Onix blanco</t>
  </si>
  <si>
    <t>Suma de control</t>
  </si>
  <si>
    <t>HC-GEN-021</t>
  </si>
  <si>
    <t>bandeja-doble-blanca-jose-luis</t>
  </si>
  <si>
    <t>Porta hielo cerro alpaca y cuerno de chivo #1</t>
  </si>
  <si>
    <t>HC-GEN-022</t>
  </si>
  <si>
    <t>RUFFO PELOTA</t>
  </si>
  <si>
    <t>HC-GEN-023</t>
  </si>
  <si>
    <t>Resma cuadrada (58x58x35h)</t>
  </si>
  <si>
    <t>HC-BAN-007</t>
  </si>
  <si>
    <t>Bandeja metalica 73x19 con manijas bordo</t>
  </si>
  <si>
    <t>HC-GEN-024</t>
  </si>
  <si>
    <t>Romance del vestido.</t>
  </si>
  <si>
    <t>HC/HUS-COM24</t>
  </si>
  <si>
    <t>HC-GEN-025</t>
  </si>
  <si>
    <t>Tiene que dar 149</t>
  </si>
  <si>
    <t>1 bordo</t>
  </si>
  <si>
    <t>libro Bordeu</t>
  </si>
  <si>
    <t>bandeja-metalica-73x19-con-manijas-bordo</t>
  </si>
  <si>
    <t>HC-BAN-008</t>
  </si>
  <si>
    <t>Bandeja onix negra</t>
  </si>
  <si>
    <t>HC/ADS04</t>
  </si>
  <si>
    <t>1 HC COMPRADO</t>
  </si>
  <si>
    <t>bandeja-onix-negra</t>
  </si>
  <si>
    <t>HC-CAN-001</t>
  </si>
  <si>
    <t>CANASTA ABAKO MEDIANO - 28 x H28cm</t>
  </si>
  <si>
    <t>Canastos y cestería</t>
  </si>
  <si>
    <t>[AAA01MU5589]</t>
  </si>
  <si>
    <t>canasta-abako-mediano-28-x-h28cm</t>
  </si>
  <si>
    <t>HC-CAN-002</t>
  </si>
  <si>
    <t>CANASTO GRAZALEMA SET X3</t>
  </si>
  <si>
    <t>[AAA01MU5457]</t>
  </si>
  <si>
    <t>canasto-grazalema-set-x3</t>
  </si>
  <si>
    <t>HC-CAN-003</t>
  </si>
  <si>
    <t>CANASTO LIANA CHICO</t>
  </si>
  <si>
    <t>HC/CLA1</t>
  </si>
  <si>
    <t>canasto-liana-chico</t>
  </si>
  <si>
    <t>con asas y pintado 1 - 4 sin asa y naturales (distinguir) 2- natural chico con asa</t>
  </si>
  <si>
    <t>HC-DEC-001</t>
  </si>
  <si>
    <t>CUADRO PEDRAGLIO 1</t>
  </si>
  <si>
    <t>HC/Obra2</t>
  </si>
  <si>
    <t>cuadro-pedraglio-1</t>
  </si>
  <si>
    <t>placard fondo caja</t>
  </si>
  <si>
    <t>Placard fondo</t>
  </si>
  <si>
    <t>HC-DEC-002</t>
  </si>
  <si>
    <t>CUADRO PEDRAGLIO 2</t>
  </si>
  <si>
    <t>HC/Obra3</t>
  </si>
  <si>
    <t>Objetos dados de alta como "nuevos" que ya estaban en el catálogo</t>
  </si>
  <si>
    <t>Nueve de los quince. El local y el catálogo usan nombres distintos para la misma cosa; el precio de la etiqueta es lo que permite emparejarlos.</t>
  </si>
  <si>
    <t>Como se lo vio en el local</t>
  </si>
  <si>
    <t>Etiqueta</t>
  </si>
  <si>
    <t>SKU del catálogo</t>
  </si>
  <si>
    <t>Nombre en el catálogo</t>
  </si>
  <si>
    <t>Por qué es el mismo</t>
  </si>
  <si>
    <t>banco pelota</t>
  </si>
  <si>
    <t>precio 1967000</t>
  </si>
  <si>
    <t>I181</t>
  </si>
  <si>
    <t>precio 1.967.000 vs 1.966.250</t>
  </si>
  <si>
    <t>mesa ola mop</t>
  </si>
  <si>
    <t>1926000 + iva</t>
  </si>
  <si>
    <t>I722</t>
  </si>
  <si>
    <t>Mesa OLA modificada (100x60x45h)</t>
  </si>
  <si>
    <t>1.926.000 + IVA = 2.330.460 vs 2.329.444</t>
  </si>
  <si>
    <t>Cuadro 1 - Santiago del Campo</t>
  </si>
  <si>
    <t>USD 2000</t>
  </si>
  <si>
    <t>I182</t>
  </si>
  <si>
    <t>Cuadros Chicos 35x45</t>
  </si>
  <si>
    <t>USD 2000 x 1535 = 3.070.000, exacto. El proveedor es SANTIAGO CARRERA, no DEL CAMPO</t>
  </si>
  <si>
    <t>Cuadro 2 - Santiago del Campo</t>
  </si>
  <si>
    <t>2000 usd</t>
  </si>
  <si>
    <t>segunda unidad del mismo SKU (stock declarado 2)</t>
  </si>
  <si>
    <t>Libro - El romance vestido - Agustina Bothlink</t>
  </si>
  <si>
    <t>I408</t>
  </si>
  <si>
    <t>"Romance del vestido.", HC DIAZ ORTIZ</t>
  </si>
  <si>
    <t>mesa arrime - madera negra</t>
  </si>
  <si>
    <t>1342 usd</t>
  </si>
  <si>
    <t>I087</t>
  </si>
  <si>
    <t>MESA DE APOYO (MADERA ROBLE NEGRO)</t>
  </si>
  <si>
    <t>precio 1342 exacto; confirma que 1342 era USD</t>
  </si>
  <si>
    <t>Libro Toit du Monde - Lars Miller</t>
  </si>
  <si>
    <t>sin etiquetar</t>
  </si>
  <si>
    <t>I085</t>
  </si>
  <si>
    <t>cuadro-pedraglio-2</t>
  </si>
  <si>
    <t>Tuit du monde</t>
  </si>
  <si>
    <t>"Tuit du monde" es el mismo libro mal tipeado; Lars Muller es la editorial</t>
  </si>
  <si>
    <t>Libro Jorge Macchi - Music stand still</t>
  </si>
  <si>
    <t>I224</t>
  </si>
  <si>
    <t>Music Stands Stills</t>
  </si>
  <si>
    <t>"Music Stands Stills", HC KBB</t>
  </si>
  <si>
    <t>Libro Enlargue - Diego Bianchi</t>
  </si>
  <si>
    <t>etiqueta: -</t>
  </si>
  <si>
    <t>I219</t>
  </si>
  <si>
    <t>Enlarge</t>
  </si>
  <si>
    <t>"Enlarge"; ese SKU ya estaba marcado ESTÁ, asi que esta alta es redundante</t>
  </si>
  <si>
    <t>Cinco de los quince sí eran nuevos y están en el inventario con el origen "NUEVO".</t>
  </si>
  <si>
    <t>Uno quedó dudoso y está en la hoja "A confirmar".</t>
  </si>
  <si>
    <t>HC-DEC-003</t>
  </si>
  <si>
    <t>Cuadro chico DANGER</t>
  </si>
  <si>
    <t>HC/LHD</t>
  </si>
  <si>
    <t>cuadro-chico-danger</t>
  </si>
  <si>
    <t>Declarados por el inventario y no encontrados en el local</t>
  </si>
  <si>
    <t>HC-DEC-004</t>
  </si>
  <si>
    <t>Cuadro grande EXIT</t>
  </si>
  <si>
    <t>No se descartan: quedan guardados. Hay que decidir si se reponen, si se buscan de nuevo o si se dan de baja.</t>
  </si>
  <si>
    <t>HC/LHEX</t>
  </si>
  <si>
    <t>SKU viejo</t>
  </si>
  <si>
    <t>Stock declarado</t>
  </si>
  <si>
    <t>Ubicación declarada</t>
  </si>
  <si>
    <t>cuadro-grande-exit</t>
  </si>
  <si>
    <t>Qué hacer</t>
  </si>
  <si>
    <t>I023</t>
  </si>
  <si>
    <t>SILLON UMBRAL CUERO PELO MARRON CLARO - 1 ESTRUCTURA CLARA, 1 ESTRUCTURA NEGRA</t>
  </si>
  <si>
    <t>HC-DEC-005</t>
  </si>
  <si>
    <t>I024</t>
  </si>
  <si>
    <t>SILLON UMBRAL CUERO PELO MARRON OSCURO TEXTURADO 1 ESTRUCTURA NEGRA</t>
  </si>
  <si>
    <t>HC/SANTIC02</t>
  </si>
  <si>
    <t>cuadros-chicos-35x45</t>
  </si>
  <si>
    <t>I082</t>
  </si>
  <si>
    <t>Switzerlarch: Bank and Bastion</t>
  </si>
  <si>
    <t>SHOWROOM</t>
  </si>
  <si>
    <t>I144</t>
  </si>
  <si>
    <t>recorrido · alta resuelta contra el catálogo</t>
  </si>
  <si>
    <t>CANASTOS LIANA MEDIANO</t>
  </si>
  <si>
    <t>visto como "Cuadro 1 - Santiago del Campo" · USD 2000 x 1535 = 3.070.000, exacto. El proveedor es SANTIAGO CARRERA, no DEL CAMPO · visto en el local como "Cuadro 2 - Santiago del Campo"</t>
  </si>
  <si>
    <t>HC-DEC-006</t>
  </si>
  <si>
    <t>Espejo Mármol Crema/ Carrara D70</t>
  </si>
  <si>
    <t>HC/LIMO03</t>
  </si>
  <si>
    <t>I734</t>
  </si>
  <si>
    <t>Mesa mármol Rosa Portugal D35x45</t>
  </si>
  <si>
    <t>espejo-marmol-crema-carrara-d70</t>
  </si>
  <si>
    <t>HC-FLO-001</t>
  </si>
  <si>
    <t>Florero Glaciar, alpaca y onyx blanco #1</t>
  </si>
  <si>
    <t>Floreros y jarrones</t>
  </si>
  <si>
    <t>HC/ADS27</t>
  </si>
  <si>
    <t>florero-glaciar-alpaca-y-onyx-blanco-1</t>
  </si>
  <si>
    <t>Deposito estanteria</t>
  </si>
  <si>
    <t>HC-FLO-002</t>
  </si>
  <si>
    <t>Florero Salta Mini Rectangular Onix Blanco #1</t>
  </si>
  <si>
    <t>HC/ADS63</t>
  </si>
  <si>
    <t>florero-salta-mini-rectangular-onix-blanco-1</t>
  </si>
  <si>
    <t>HC-FLO-003</t>
  </si>
  <si>
    <t>Florero Salta Mini Rectangular Onix Blanco #2</t>
  </si>
  <si>
    <t>HC/ADS64</t>
  </si>
  <si>
    <t>florero-salta-mini-rectangular-onix-blanco-2</t>
  </si>
  <si>
    <t>Preguntas que necesitan una respuesta humana</t>
  </si>
  <si>
    <t>Ninguna de estas la puedo resolver mirando datos. Están ordenadas por lo que bloquean.</t>
  </si>
  <si>
    <t>HC-FLO-004</t>
  </si>
  <si>
    <t>Florero Shiva, alpaca y onyx blanco #1 (5x4x10)</t>
  </si>
  <si>
    <t>HC/ADS49</t>
  </si>
  <si>
    <t>#</t>
  </si>
  <si>
    <t>Qué</t>
  </si>
  <si>
    <t>florero-shiva-alpaca-y-onyx-blanco-1-5x4x10</t>
  </si>
  <si>
    <t>Por qué importa</t>
  </si>
  <si>
    <t>A quién</t>
  </si>
  <si>
    <t>Respuesta</t>
  </si>
  <si>
    <t>uno blanco uno rosa</t>
  </si>
  <si>
    <t>HC-FLO-005</t>
  </si>
  <si>
    <t>Florero Shiva, alpaca y onyx blanco #2 (11.5 x 8.5 x 20)</t>
  </si>
  <si>
    <t>HC/ADS50</t>
  </si>
  <si>
    <t>Peso de los productos, al menos un rango por proveedor</t>
  </si>
  <si>
    <t>Sin peso Tiendanube no cotiza envío. Es el único dato que impide cobrar.</t>
  </si>
  <si>
    <t>Socias / proveedores</t>
  </si>
  <si>
    <t>florero-shiva-alpaca-y-onyx-blanco-2-11-5-x-8-5-x-20</t>
  </si>
  <si>
    <t>La carpeta HC HOME de Dropbox copiada a Google Drive</t>
  </si>
  <si>
    <t>Sin fotos no hay página de producto. Es el segundo bloqueante.</t>
  </si>
  <si>
    <t>HC-FLO-006</t>
  </si>
  <si>
    <t>Florero grande.</t>
  </si>
  <si>
    <t>¿"mesa saporo redonda 45x40" es la Mesa oval saporo L.120 (I640)?</t>
  </si>
  <si>
    <t>La L.80 (I415) ya está marcada aparte. Si no es ninguna, es un producto nuevo.</t>
  </si>
  <si>
    <t>HC/LIMO05</t>
  </si>
  <si>
    <t>Quien recorrió</t>
  </si>
  <si>
    <t>La etiqueta de la mesa de mármol rosa decía 88000000</t>
  </si>
  <si>
    <t>Es un precio imposible. ¿Son $880.000 o $8.800.000? La del catálogo (D35x45) fue a backlog y esta es otra medida.</t>
  </si>
  <si>
    <t>Socias</t>
  </si>
  <si>
    <t>"mika tanila" a $35.000: ¿qué libro es?</t>
  </si>
  <si>
    <t>El libro de $35.000 del catálogo (Bouroullec) ya está marcado aparte, así que este es otro.</t>
  </si>
  <si>
    <t>Socias / HC KBB</t>
  </si>
  <si>
    <t>Banqueta Bar a $346.000 y Lámpara Mesa LED a $129.000: ¿de quién son?</t>
  </si>
  <si>
    <t>Son productos nuevos sin proveedor. Sin proveedor no hay lead time ni régimen.</t>
  </si>
  <si>
    <t>florero-grande</t>
  </si>
  <si>
    <t>Santiago Carrera y Santiago del Campo son dos proveedores distintos</t>
  </si>
  <si>
    <t>Los cuadros son de Carrera; los muebles, de Del Campo. Se confundieron en el recorrido y en el cruce de septiembre.</t>
  </si>
  <si>
    <t>Confirmar con socias</t>
  </si>
  <si>
    <t>¿Qué sets se venden juntos y qué piezas sueltas?</t>
  </si>
  <si>
    <t>Hay sets y piezas como productos separados. Agrupar variantes DESPUÉS de importar obliga a borrar productos y perder las URLs.</t>
  </si>
  <si>
    <t>Los 3 objetos que existen con stock declarado 0</t>
  </si>
  <si>
    <t>Dos Frascos EGG y una manta: están en el local y el inventario decía que no. ¿Se venden?</t>
  </si>
  <si>
    <t>El SILLON UMBRAL CUERO VACA: el inventario declara 2 y se contó 1</t>
  </si>
  <si>
    <t>Es la única discrepancia real de cantidad de todo el recorrido.</t>
  </si>
  <si>
    <t>HC-FLO-007</t>
  </si>
  <si>
    <t>JARRON ATENEA VIDRIO · · COLOR GRIS · · MEDIDAS: 31 x H34cm</t>
  </si>
  <si>
    <t>[FAD08GR6660]</t>
  </si>
  <si>
    <t>4</t>
  </si>
  <si>
    <t>jarron-atenea-vidrio-color-gris-medidas-31-x-h34cm</t>
  </si>
  <si>
    <t xml:space="preserve">1 Showroom, 1 arriba living, 2 deposito </t>
  </si>
  <si>
    <t>HC/COCO01</t>
  </si>
  <si>
    <t>akai-largo</t>
  </si>
  <si>
    <t>HC/BG</t>
  </si>
  <si>
    <t>backgammon</t>
  </si>
  <si>
    <t>Placard fondo 1, 1 Deposito estanteria</t>
  </si>
  <si>
    <t>HC/BU</t>
  </si>
  <si>
    <t>butaca-umbral</t>
  </si>
  <si>
    <t>HC/FBCLL</t>
  </si>
  <si>
    <t>caballito</t>
  </si>
  <si>
    <t>PATIO</t>
  </si>
  <si>
    <t>Patio</t>
  </si>
  <si>
    <t>HC/CEN</t>
  </si>
  <si>
    <t>1 BLANCO/ 1 NEGRO</t>
  </si>
  <si>
    <t>ceniceros</t>
  </si>
  <si>
    <t>HC/FABI02</t>
  </si>
  <si>
    <t>casitas-acrilico-chicas</t>
  </si>
  <si>
    <t>HC/FABI01</t>
  </si>
  <si>
    <t>casitas-acrilicos-grandes</t>
  </si>
  <si>
    <t>HC/CSCL</t>
  </si>
  <si>
    <t>cilindro-largo-78x18diam</t>
  </si>
  <si>
    <t>HC/CSCM</t>
  </si>
  <si>
    <t>cilindro-mediano-58x18diam</t>
  </si>
  <si>
    <t>HC/PT35</t>
  </si>
  <si>
    <t>cojin-yana-camino-blanco-y-negro-30x45</t>
  </si>
  <si>
    <t>HC/PT36</t>
  </si>
  <si>
    <t>cojin-yana-alpaca-y-algodon-con-flecos-50x50</t>
  </si>
  <si>
    <t>HC/PT33</t>
  </si>
  <si>
    <t>cojin-yana-block-blanco-y-negro-30x45</t>
  </si>
  <si>
    <t>HC/PT34</t>
  </si>
  <si>
    <t>cojin-yana-rayas-verticales-blanco-y-negro-30x45</t>
  </si>
  <si>
    <t>HC/CER/GALLO</t>
  </si>
  <si>
    <t>1 DE UN CLIENTE</t>
  </si>
  <si>
    <t>gallo-altura-55cm-35x30</t>
  </si>
  <si>
    <t>HC/CHB</t>
  </si>
  <si>
    <t>3</t>
  </si>
  <si>
    <t>libro-chubut</t>
  </si>
  <si>
    <t>1 showroom, 2 deposito estanteria</t>
  </si>
  <si>
    <t>HC/FBLAL</t>
  </si>
  <si>
    <t>1 BORDEU</t>
  </si>
  <si>
    <t>loungearmchair-luxembourg</t>
  </si>
  <si>
    <t>HC/JN03</t>
  </si>
  <si>
    <t>1 blanco, negro, azul, naranja</t>
  </si>
  <si>
    <t>nudos-l-45x45-aprox</t>
  </si>
  <si>
    <t>HC/CER/PAVO</t>
  </si>
  <si>
    <t>pavo-altura-25cm-40x40</t>
  </si>
  <si>
    <t>estudio</t>
  </si>
  <si>
    <t>Estudio</t>
  </si>
  <si>
    <t>HC/PH01</t>
  </si>
  <si>
    <t>petaca</t>
  </si>
  <si>
    <t>1 showroom, 3 deposito</t>
  </si>
  <si>
    <t>HC/ADS01</t>
  </si>
  <si>
    <t>par-sujeta-libros-salta-alpaca-y-onix-blanco</t>
  </si>
  <si>
    <t>HC/ADS32</t>
  </si>
  <si>
    <t>porta-hielo-cerro-alpaca-y-cuerno-de-chivo-1</t>
  </si>
  <si>
    <t>HC/RF03</t>
  </si>
  <si>
    <t>ruffo-pelota</t>
  </si>
  <si>
    <t>visto como "banco pelota" · precio 1.967.000 vs 1.966.250</t>
  </si>
  <si>
    <t>HC/CSRG</t>
  </si>
  <si>
    <t>resma-cuadrada-58x58x35h</t>
  </si>
  <si>
    <t>HC/DO01</t>
  </si>
  <si>
    <t>romance-del-vestido</t>
  </si>
  <si>
    <t>tiene hundida la tapa</t>
  </si>
  <si>
    <t>Otras ubicaciones</t>
  </si>
  <si>
    <t>visto como "Libro - El romance vestido - Agustina Bothlink" · "Romance del vestido.", HC DIAZ ORTIZ</t>
  </si>
  <si>
    <t>HC/AM1</t>
  </si>
  <si>
    <t>11</t>
  </si>
  <si>
    <t>libro-bordeu</t>
  </si>
  <si>
    <t>2 Showroom, 6 placard fondo</t>
  </si>
  <si>
    <t>HC-ILU-001</t>
  </si>
  <si>
    <t>LAMPARA BALAD 25H</t>
  </si>
  <si>
    <t>Iluminación</t>
  </si>
  <si>
    <t>HC/FBLB</t>
  </si>
  <si>
    <t>1 CREMA 1 VERDE 1 NEGRA</t>
  </si>
  <si>
    <t>lampara-balad-25h</t>
  </si>
  <si>
    <t>HC-ILU-002</t>
  </si>
  <si>
    <t>LAMPARA BALAD 38H (BAMBOO)</t>
  </si>
  <si>
    <t>HC/FBLBB</t>
  </si>
  <si>
    <t>lampara-balad-38h-bamboo</t>
  </si>
  <si>
    <t>HC-ILU-003</t>
  </si>
  <si>
    <t>LAMPARA BALAD SET X3</t>
  </si>
  <si>
    <t>HC/FBLB3</t>
  </si>
  <si>
    <t>1 VERDE</t>
  </si>
  <si>
    <t>lampara-balad-set-x3</t>
  </si>
  <si>
    <t>HC-ILU-004</t>
  </si>
  <si>
    <t>LAMPARA DE PIE BALAD OFFSET STAND</t>
  </si>
  <si>
    <t>HC/FBLPL</t>
  </si>
  <si>
    <t>lampara-de-pie-balad-offset-stand</t>
  </si>
  <si>
    <t>HC-ILU-005</t>
  </si>
  <si>
    <t>LAMPARA DE PIE BALAD UPRIGHT STAND</t>
  </si>
  <si>
    <t>HC/FBLPS</t>
  </si>
  <si>
    <t>lampara-de-pie-balad-upright-stand</t>
  </si>
  <si>
    <t>HC-ILU-006</t>
  </si>
  <si>
    <t>Lampara Mesa Led</t>
  </si>
  <si>
    <t>lampara-mesa-led</t>
  </si>
  <si>
    <t>NUEVO · no estaba en el inventario</t>
  </si>
  <si>
    <t>Las dos lámparas LED del catálogo (I294, I295) ya estaban marcadas aparte</t>
  </si>
  <si>
    <t>HC-ILU-007</t>
  </si>
  <si>
    <t>Lampara led hongo bajo</t>
  </si>
  <si>
    <t>HC/LH</t>
  </si>
  <si>
    <t>1 negra</t>
  </si>
  <si>
    <t>lampara-led-hongo-bajo</t>
  </si>
  <si>
    <t>deposito estanteria</t>
  </si>
  <si>
    <t>HC-LIB-001</t>
  </si>
  <si>
    <t>Allan McCollum</t>
  </si>
  <si>
    <t>HC/KBBAMC</t>
  </si>
  <si>
    <t>allan-mccollum</t>
  </si>
  <si>
    <t>HC-LIB-002</t>
  </si>
  <si>
    <t>Art &amp; Language Homes</t>
  </si>
  <si>
    <t>978-3-905701-56-2</t>
  </si>
  <si>
    <t>art-language-homes</t>
  </si>
  <si>
    <t>HC-LIB-003</t>
  </si>
  <si>
    <t>Arte Urbana</t>
  </si>
  <si>
    <t>978-631-90766-0-8</t>
  </si>
  <si>
    <t>arte-urbana</t>
  </si>
  <si>
    <t>showroom/placard</t>
  </si>
  <si>
    <t>HC-LIB-004</t>
  </si>
  <si>
    <t>COSAS el mundo no existe</t>
  </si>
  <si>
    <t>978-987-783-993-7</t>
  </si>
  <si>
    <t>cosas-el-mundo-no-existe</t>
  </si>
  <si>
    <t>1 showroom/2 placard</t>
  </si>
  <si>
    <t>HC-LIB-005</t>
  </si>
  <si>
    <t>DOMA_17</t>
  </si>
  <si>
    <t>978-987-45-7832-7</t>
  </si>
  <si>
    <t>doma-17</t>
  </si>
  <si>
    <t>Showroom/placard fondo</t>
  </si>
  <si>
    <t>HC-LIB-006</t>
  </si>
  <si>
    <t>El Amor imperfecto</t>
  </si>
  <si>
    <t>978-987-45783-5-8</t>
  </si>
  <si>
    <t>5</t>
  </si>
  <si>
    <t>el-amor-imperfecto</t>
  </si>
  <si>
    <t>2 showroom, 3 placard</t>
  </si>
  <si>
    <t>HC-LIB-007</t>
  </si>
  <si>
    <t>El Asesino de tu Herencia</t>
  </si>
  <si>
    <t>978-987-33-0567-2</t>
  </si>
  <si>
    <t>el-asesino-de-tu-herencia</t>
  </si>
  <si>
    <t>precio lista 50000</t>
  </si>
  <si>
    <t>HC-LIB-008</t>
  </si>
  <si>
    <t>978-987-33-0781-2</t>
  </si>
  <si>
    <t>enlarge</t>
  </si>
  <si>
    <t>HC-LIB-009</t>
  </si>
  <si>
    <t>Esto fue otro lugar</t>
  </si>
  <si>
    <t>978-987-21256-2-2</t>
  </si>
  <si>
    <t>esto-fue-otro-lugar</t>
  </si>
  <si>
    <t>3 deposito estanteria, 1 showroom</t>
  </si>
  <si>
    <t>HC-LIB-010</t>
  </si>
  <si>
    <t>Graciela Hasper</t>
  </si>
  <si>
    <t>978-1-73684-083-2</t>
  </si>
  <si>
    <t>graciela-hasper</t>
  </si>
  <si>
    <t>1 showroom, 3 placard</t>
  </si>
  <si>
    <t>HC-LIB-011</t>
  </si>
  <si>
    <t>Guillermo Kuitca, Collected Drawings 1971 -2017</t>
  </si>
  <si>
    <t>978-3-03764-513-0</t>
  </si>
  <si>
    <t>guillermo-kuitca-collected-drawings-1971-2017</t>
  </si>
  <si>
    <t>1 FOTOS, 3 SHOWROOM</t>
  </si>
  <si>
    <t>HC-LIB-012</t>
  </si>
  <si>
    <t>Hogar</t>
  </si>
  <si>
    <t>978-987-45783-1-0</t>
  </si>
  <si>
    <t>hogar</t>
  </si>
  <si>
    <t>HC-LIB-013</t>
  </si>
  <si>
    <t>Jason Rhoades: The Big Picture</t>
  </si>
  <si>
    <t>HC/KBBJR</t>
  </si>
  <si>
    <t>jason-rhoades-the-big-picture</t>
  </si>
  <si>
    <t>HC-LIB-014</t>
  </si>
  <si>
    <t>Joaquin Boz</t>
  </si>
  <si>
    <t>978-987-45783-8-9</t>
  </si>
  <si>
    <t>joaquin-boz</t>
  </si>
  <si>
    <t>1 estudio, 1 showroom</t>
  </si>
  <si>
    <t>precio 74k</t>
  </si>
  <si>
    <t>HC-LIB-015</t>
  </si>
  <si>
    <t>Mappa</t>
  </si>
  <si>
    <t>HC/KBBMPP</t>
  </si>
  <si>
    <t>mappa</t>
  </si>
  <si>
    <t>HC-LIB-016</t>
  </si>
  <si>
    <t>Matt Mullican/ Rubbings</t>
  </si>
  <si>
    <t>978-3-03764-461-4</t>
  </si>
  <si>
    <t>matt-mullican-rubbings</t>
  </si>
  <si>
    <t>HC-LIB-017</t>
  </si>
  <si>
    <t>Measuring the Universe</t>
  </si>
  <si>
    <t>HC/KBBMU</t>
  </si>
  <si>
    <t>measuring-the-universe</t>
  </si>
  <si>
    <t>HC-LIB-018</t>
  </si>
  <si>
    <t>Mental Landscape</t>
  </si>
  <si>
    <t>978-987-45783-3-4</t>
  </si>
  <si>
    <t>mental-landscape</t>
  </si>
  <si>
    <t>1 showroom, 2 placard</t>
  </si>
  <si>
    <t>HC-LIB-019</t>
  </si>
  <si>
    <t>Miguel Rotschild</t>
  </si>
  <si>
    <t>978-377-57402-4-1</t>
  </si>
  <si>
    <t>miguel-rotschild</t>
  </si>
  <si>
    <t>HC-LIB-020</t>
  </si>
  <si>
    <t>978-907-567-9380</t>
  </si>
  <si>
    <t>music-stands-stills</t>
  </si>
  <si>
    <t>visto como "Libro Jorge Macchi - Music stand still" · "Music Stands Stills", HC KBB</t>
  </si>
  <si>
    <t>HC-LIB-021</t>
  </si>
  <si>
    <t>Nestlé Art Collection</t>
  </si>
  <si>
    <t>978-3-03764-038-8</t>
  </si>
  <si>
    <t>nestle-art-collection</t>
  </si>
  <si>
    <t>HC-LIB-022</t>
  </si>
  <si>
    <t>Not Made Visible</t>
  </si>
  <si>
    <t>HC/KBBNMV</t>
  </si>
  <si>
    <t>not-made-visible</t>
  </si>
  <si>
    <t>HC-LIB-023</t>
  </si>
  <si>
    <t>Of Bridges &amp; Borders Vol I</t>
  </si>
  <si>
    <t>978-3-03764-081-4</t>
  </si>
  <si>
    <t>of-bridges-borders-vol-i</t>
  </si>
  <si>
    <t>1 Showroom, 1 placard</t>
  </si>
  <si>
    <t>precio 72*</t>
  </si>
  <si>
    <t>HC-LIB-024</t>
  </si>
  <si>
    <t>Of Bridges &amp; Borders Vol II</t>
  </si>
  <si>
    <t>978-3-03764-263-4</t>
  </si>
  <si>
    <t>of-bridges-borders-vol-ii</t>
  </si>
  <si>
    <t>2 Showroom/ 1 placard fondo/ 1 fotos?</t>
  </si>
  <si>
    <t>HC-LIB-025</t>
  </si>
  <si>
    <t>Parse</t>
  </si>
  <si>
    <t>978-3-03764-117-0</t>
  </si>
  <si>
    <t>parse</t>
  </si>
  <si>
    <t>HC-LIB-026</t>
  </si>
  <si>
    <t>Premonition</t>
  </si>
  <si>
    <t>978-3-7356-0816-1</t>
  </si>
  <si>
    <t>premonition</t>
  </si>
  <si>
    <t>placard/showroom</t>
  </si>
  <si>
    <t>HC-LIB-027</t>
  </si>
  <si>
    <t>RETOUR</t>
  </si>
  <si>
    <t>HC/KBBRT</t>
  </si>
  <si>
    <t>retour</t>
  </si>
  <si>
    <t>HC-LIB-028</t>
  </si>
  <si>
    <t>Ronan &amp; erwan bouroullec</t>
  </si>
  <si>
    <t>978-3-03764-150-7</t>
  </si>
  <si>
    <t>ronan-erwan-bouroullec</t>
  </si>
  <si>
    <t>HC-LIB-029</t>
  </si>
  <si>
    <t>Switzerlart</t>
  </si>
  <si>
    <t>HC/KBBSW</t>
  </si>
  <si>
    <t>switzerlart</t>
  </si>
  <si>
    <t>placard</t>
  </si>
  <si>
    <t>HC-LIB-030</t>
  </si>
  <si>
    <t>Teresa Burga: Aleatory Structures</t>
  </si>
  <si>
    <t>HC/KBBTB</t>
  </si>
  <si>
    <t>teresa-burga-aleatory-structures</t>
  </si>
  <si>
    <t>HC-LIB-031</t>
  </si>
  <si>
    <t>Transversal</t>
  </si>
  <si>
    <t>978-9874-57836-5</t>
  </si>
  <si>
    <t>transversal</t>
  </si>
  <si>
    <t>HC-LIB-032</t>
  </si>
  <si>
    <t>978-3-03778-000-8</t>
  </si>
  <si>
    <t>tuit-du-monde</t>
  </si>
  <si>
    <t>visto como "Libro Toit du Monde - Lars Miller" · "Tuit du monde" es el mismo libro mal tipeado; Lars Muller es la editorial</t>
  </si>
  <si>
    <t>HC-LIB-033</t>
  </si>
  <si>
    <t>Ugo Rondinone: New Horizon</t>
  </si>
  <si>
    <t>978-3-03764-506-2</t>
  </si>
  <si>
    <t>ugo-rondinone-new-horizon</t>
  </si>
  <si>
    <t>HC-LIB-034</t>
  </si>
  <si>
    <t>Ugo Rondinone: Pure sunshine</t>
  </si>
  <si>
    <t>978-3-03764-505-5</t>
  </si>
  <si>
    <t>ugo-rondinone-pure-sunshine</t>
  </si>
  <si>
    <t>HC-LIB-035</t>
  </si>
  <si>
    <t>Unreachable Empires</t>
  </si>
  <si>
    <t>978-3-03764-514-7</t>
  </si>
  <si>
    <t>unreachable-empires</t>
  </si>
  <si>
    <t>2 Showroom 1 placard fondo</t>
  </si>
  <si>
    <t>HC-LIB-036</t>
  </si>
  <si>
    <t>mika tanila</t>
  </si>
  <si>
    <t>mika-tanila</t>
  </si>
  <si>
    <t>El SKU de 35.000 (I081 Bouroullec) ya estaba marcado aparte: es un libro distinto</t>
  </si>
  <si>
    <t>HC-MUE-001</t>
  </si>
  <si>
    <t>BANCO NEGRO 155x55x50h</t>
  </si>
  <si>
    <t>HC/RF04</t>
  </si>
  <si>
    <t>banco-negro-155x55x50h</t>
  </si>
  <si>
    <t>HC-MUE-002</t>
  </si>
  <si>
    <t>BANCO TOTEM</t>
  </si>
  <si>
    <t>HC/COCO02</t>
  </si>
  <si>
    <t>banco-totem</t>
  </si>
  <si>
    <t>HC-MUE-003</t>
  </si>
  <si>
    <t>BANQUETA REGULABLE NEGRO</t>
  </si>
  <si>
    <t>HC/SCBR</t>
  </si>
  <si>
    <t>banqueta-regulable-negro</t>
  </si>
  <si>
    <t>HC-MUE-004</t>
  </si>
  <si>
    <t>BANQUETAS ROJAS LAQUEADAS Charles &amp; Ray Eames</t>
  </si>
  <si>
    <t>banquetas-rojas-laqueadas-charles-ray-eames</t>
  </si>
  <si>
    <t>precio + iva</t>
  </si>
  <si>
    <t>HC-MUE-005</t>
  </si>
  <si>
    <t>Banqueta Bar</t>
  </si>
  <si>
    <t>banqueta-bar</t>
  </si>
  <si>
    <t>Sin coincidencia de precio en el catálogo</t>
  </si>
  <si>
    <t>HC-MUE-006</t>
  </si>
  <si>
    <t>CENTRO DE MESA REDONDO DENTED NEGRO - CERAMICA 11X25 CM</t>
  </si>
  <si>
    <t>[EAS10NE3525]</t>
  </si>
  <si>
    <t>centro-de-mesa-redondo-dented-negro-ceramica-11x25-cm</t>
  </si>
  <si>
    <t>HC-MUE-007</t>
  </si>
  <si>
    <t>CENTRO DE MESA REDONDO DENTED NEGRO - CERAMICA 11X30 CM</t>
  </si>
  <si>
    <t>[AAB01NN5321]</t>
  </si>
  <si>
    <t>centro-de-mesa-redondo-dented-negro-ceramica-11x30-cm</t>
  </si>
  <si>
    <t>HC-MUE-008</t>
  </si>
  <si>
    <t>COME TU VUOI AMORE Mesa de centro, de arrime, de luz o auxiliar. Mueble escultórico prêtà-porter. MATERIAL: Mármol Natural Negro Marquina (Italia)</t>
  </si>
  <si>
    <t>HC/UGO3</t>
  </si>
  <si>
    <t>come-tu-vuoi-amore-mesa-de-centro-de-arrime-de-luz-o-auxiliar-mueble-e</t>
  </si>
  <si>
    <t>HC-MUE-009</t>
  </si>
  <si>
    <t>LAMPARA LED DE MESA ALTAS</t>
  </si>
  <si>
    <t>HC/LLA</t>
  </si>
  <si>
    <t>4 negras, 1 beige (base redonda)</t>
  </si>
  <si>
    <t>lampara-led-de-mesa-altas</t>
  </si>
  <si>
    <t>en showroom plaard - revisar precio</t>
  </si>
  <si>
    <t>HC-MUE-010</t>
  </si>
  <si>
    <t>LUNA DE ARENA Mesa de arrime o auxiliar. Mueble escultórico prêt-à-porter. MATERIAL: Piedra de Fósiles Marinos Arenisca Amarillo Fósil</t>
  </si>
  <si>
    <t>HC/UGO2</t>
  </si>
  <si>
    <t>luna-de-arena-mesa-de-arrime-o-auxiliar-mueble-escultorico-pret-a-port</t>
  </si>
  <si>
    <t>nombre etiqueta: mesa arrime marfil</t>
  </si>
  <si>
    <t>HC-MUE-011</t>
  </si>
  <si>
    <t>MESA BISTRO</t>
  </si>
  <si>
    <t>HC/FBMB</t>
  </si>
  <si>
    <t>1 AMARILLA</t>
  </si>
  <si>
    <t>mesa-bistro</t>
  </si>
  <si>
    <t>BALCON</t>
  </si>
  <si>
    <t>HC-MUE-012</t>
  </si>
  <si>
    <t>HC/KR2</t>
  </si>
  <si>
    <t>mesa-de-apoyo-madera-roble-negro</t>
  </si>
  <si>
    <t>visto como "mesa arrime - madera negra" · precio 1342 exacto; confirma que 1342 era USD</t>
  </si>
  <si>
    <t>HC-MUE-013</t>
  </si>
  <si>
    <t>HC/AH33</t>
  </si>
  <si>
    <t>mesa-ola-modificada-100x60x45h</t>
  </si>
  <si>
    <t>visto como "mesa ola mop" · 1.926.000 + IVA = 2.330.460 vs 2.329.444</t>
  </si>
  <si>
    <t>HC-MUE-014</t>
  </si>
  <si>
    <t>Mesa l01 Crema Marfil D35x45</t>
  </si>
  <si>
    <t>HC/LIMO07</t>
  </si>
  <si>
    <t>mesa-l01-crema-marfil-d35x45</t>
  </si>
  <si>
    <t>HC-MUE-015</t>
  </si>
  <si>
    <t>Mesa libro redonda negra. Material: Metal · Dimensiones · 44 × 45 × 45 cm</t>
  </si>
  <si>
    <t>HC/HUS-COM21</t>
  </si>
  <si>
    <t>mesa-libro-redonda-negra-material-metal-dimensiones-44-45-45-cm</t>
  </si>
  <si>
    <t>HC-MUE-016</t>
  </si>
  <si>
    <t>Mesa mármol Verde Oriental D35x45</t>
  </si>
  <si>
    <t>HC/LIMO02</t>
  </si>
  <si>
    <t>mesa-marmol-verde-oriental-d35x45</t>
  </si>
  <si>
    <t>HC-MUE-017</t>
  </si>
  <si>
    <t>Mesa oval saporo L.80 x45x40h tapa madera / metal gris</t>
  </si>
  <si>
    <t>HC/HUS-COM5</t>
  </si>
  <si>
    <t>mesa-oval-saporo-l-80-x45x40h-tapa-madera-metal-gris</t>
  </si>
  <si>
    <t>baño, falta armar</t>
  </si>
  <si>
    <t>HC-MUE-018</t>
  </si>
  <si>
    <t>Mesa territorio 40/50 vidrio</t>
  </si>
  <si>
    <t>HC/MT4050</t>
  </si>
  <si>
    <t>mesa-territorio-40-50-vidrio</t>
  </si>
  <si>
    <t>HC-MUE-019</t>
  </si>
  <si>
    <t>PUFF ACHI NEGRO 31X40</t>
  </si>
  <si>
    <t>DUNKAANACHI</t>
  </si>
  <si>
    <t>puff-achi-negro-31x40</t>
  </si>
  <si>
    <t>1 showroom, 1 caja en depósito</t>
  </si>
  <si>
    <t>HC-MUE-020</t>
  </si>
  <si>
    <t>SILLA BISTRO</t>
  </si>
  <si>
    <t>HC/FBSB</t>
  </si>
  <si>
    <t>5 (BORDEU, BLANCA, VERDE, AMARILLA, CELE</t>
  </si>
  <si>
    <t>silla-bistro</t>
  </si>
  <si>
    <t>PATIO/BALCON</t>
  </si>
  <si>
    <t>HC-MUE-021</t>
  </si>
  <si>
    <t>SILLA LUXEMBOURG</t>
  </si>
  <si>
    <t>HC/FBSL</t>
  </si>
  <si>
    <t>1 BORDEU 1 AMARILLA</t>
  </si>
  <si>
    <t>silla-luxembourg</t>
  </si>
  <si>
    <t>HC-MUE-022</t>
  </si>
  <si>
    <t>SILLON FALDA TELA DE LINO NEGRO (18MTS)</t>
  </si>
  <si>
    <t>HC/SILLONGRANDE</t>
  </si>
  <si>
    <t>sillon-falda-tela-de-lino-negro-18mts</t>
  </si>
  <si>
    <t>precio 4544k + iva</t>
  </si>
  <si>
    <t>HC-MUE-023</t>
  </si>
  <si>
    <t>SILLON UMBRAL CUERO NEGRO - 1 ESTRUCTURA CLARA</t>
  </si>
  <si>
    <t>HC/S-UMBRAL</t>
  </si>
  <si>
    <t>sillon-umbral-cuero-negro-1-estructura-clara</t>
  </si>
  <si>
    <t>HC-MUE-024</t>
  </si>
  <si>
    <t>SILLON UMBRAL CUERO VACA - 1 ESTRUCTURA NEGRA</t>
  </si>
  <si>
    <t>sillon-umbral-cuero-vaca-1-estructura-negra</t>
  </si>
  <si>
    <t>Estudio/Kalpakian</t>
  </si>
  <si>
    <t>HC-MUE-025</t>
  </si>
  <si>
    <t>Silla ZIGGUI de madera - tapizada lino negro</t>
  </si>
  <si>
    <t>HC/ZGG03</t>
  </si>
  <si>
    <t>silla-ziggui-de-madera-tapizada-lino-negro</t>
  </si>
  <si>
    <t>HC-MUE-026</t>
  </si>
  <si>
    <t>Silla con papel craft en color laqueado</t>
  </si>
  <si>
    <t>HC/SPCL</t>
  </si>
  <si>
    <t>2, 1 verde una negra</t>
  </si>
  <si>
    <t>silla-con-papel-craft-en-color-laqueado</t>
  </si>
  <si>
    <t>HC-MUE-027</t>
  </si>
  <si>
    <t>Silla/mesa de marmol verde</t>
  </si>
  <si>
    <t>HC/LIMO06</t>
  </si>
  <si>
    <t>silla-mesa-de-marmol-verde</t>
  </si>
  <si>
    <t>HC-MUE-028</t>
  </si>
  <si>
    <t>mesa Z baja 48cm altura gris y bordo</t>
  </si>
  <si>
    <t>HC/HUS-COM36</t>
  </si>
  <si>
    <t>1 GRIS</t>
  </si>
  <si>
    <t>mesa-z-baja-48cm-altura-gris-y-bordo</t>
  </si>
  <si>
    <t>precio mal</t>
  </si>
  <si>
    <t>HC-MUE-029</t>
  </si>
  <si>
    <t>mesa marmol rosa portugal 55x95x35</t>
  </si>
  <si>
    <t>mesa-marmol-rosa-portugal-55x95x35</t>
  </si>
  <si>
    <t>Etiqueta ilegible (88000000). La del catálogo es D35x45 y fue a backlog: esta es otra medida</t>
  </si>
  <si>
    <t>HC-MUE-030</t>
  </si>
  <si>
    <t>mesa territorio 40/60 vidrio</t>
  </si>
  <si>
    <t>HC/MT4060</t>
  </si>
  <si>
    <t>mesa-territorio-40-60-vidrio</t>
  </si>
  <si>
    <t>HC-MUE-031</t>
  </si>
  <si>
    <t>perchero color PAR</t>
  </si>
  <si>
    <t>HC/JP-PP</t>
  </si>
  <si>
    <t>perchero-color-par</t>
  </si>
  <si>
    <t>HC-POR-001</t>
  </si>
  <si>
    <t>CANDELABRO 3 brazos NEGRO</t>
  </si>
  <si>
    <t>Portavelas y candelabros</t>
  </si>
  <si>
    <t>HC/C3N</t>
  </si>
  <si>
    <t>1 NEGRO</t>
  </si>
  <si>
    <t>candelabro-3-brazos-negro</t>
  </si>
  <si>
    <t>HC-POR-002</t>
  </si>
  <si>
    <t>CANDELABRO 3 brazos PUNTOS</t>
  </si>
  <si>
    <t>HC/C3P</t>
  </si>
  <si>
    <t>1 PUNTOS BYN</t>
  </si>
  <si>
    <t>candelabro-3-brazos-puntos</t>
  </si>
  <si>
    <t>HC-POR-003</t>
  </si>
  <si>
    <t>CANDELABRO 3 brazos RAYAS</t>
  </si>
  <si>
    <t>HC/C3R</t>
  </si>
  <si>
    <t>1 RAYAS MARRON Y BLANCO</t>
  </si>
  <si>
    <t>candelabro-3-brazos-rayas</t>
  </si>
  <si>
    <t>HC-POR-004</t>
  </si>
  <si>
    <t>Candelabro espiral alpaca ALTO</t>
  </si>
  <si>
    <t>HC/SIX11</t>
  </si>
  <si>
    <t>candelabro-espiral-alpaca-alto</t>
  </si>
  <si>
    <t>HC-POR-005</t>
  </si>
  <si>
    <t>Candelabro vertigo onix negro #1</t>
  </si>
  <si>
    <t>HC/ADS60</t>
  </si>
  <si>
    <t>candelabro-vertigo-onix-negro-1</t>
  </si>
  <si>
    <t>HC-POR-006</t>
  </si>
  <si>
    <t>Candelabro vertigo onix negro #2</t>
  </si>
  <si>
    <t>HC/ADS61</t>
  </si>
  <si>
    <t>candelabro-vertigo-onix-negro-2</t>
  </si>
  <si>
    <t>HC-POR-007</t>
  </si>
  <si>
    <t>Candelabro vertigo onix negro #3</t>
  </si>
  <si>
    <t>HC/ADS62</t>
  </si>
  <si>
    <t>candelabro-vertigo-onix-negro-3</t>
  </si>
  <si>
    <t>HC-POR-008</t>
  </si>
  <si>
    <t>candelabro 3 brazos lunares</t>
  </si>
  <si>
    <t>candelabro-3-brazos-lunares</t>
  </si>
  <si>
    <t>Cuarta variante: negro, puntos y rayas ya estaban marcadas aparte</t>
  </si>
  <si>
    <t>HC-TEX-001</t>
  </si>
  <si>
    <t>Almohadon HC 30x70</t>
  </si>
  <si>
    <t>HC/AH9</t>
  </si>
  <si>
    <t>almohadon-hc-30x70</t>
  </si>
  <si>
    <t>deposito bolsa</t>
  </si>
  <si>
    <t>HC-TEX-002</t>
  </si>
  <si>
    <t>Almohadon con pompon peru textil 30x45</t>
  </si>
  <si>
    <t>HC/PT03</t>
  </si>
  <si>
    <t>almohadon-con-pompon-peru-textil-30x45</t>
  </si>
  <si>
    <t>HC-TEX-003</t>
  </si>
  <si>
    <t>HC/PT04</t>
  </si>
  <si>
    <t>HC-TEX-004</t>
  </si>
  <si>
    <t>Almohadones HC 45x60</t>
  </si>
  <si>
    <t>HC/AH14</t>
  </si>
  <si>
    <t>3 fundas 45x45, 1 almohadon</t>
  </si>
  <si>
    <t>almohadones-hc-45x60</t>
  </si>
  <si>
    <t>HC-TEX-005</t>
  </si>
  <si>
    <t>HC/AH24</t>
  </si>
  <si>
    <t>HC-TEX-006</t>
  </si>
  <si>
    <t>Almohadones HC 50x50</t>
  </si>
  <si>
    <t>HC/AH13</t>
  </si>
  <si>
    <t>almohadones-hc-50x50</t>
  </si>
  <si>
    <t>HC-TEX-007</t>
  </si>
  <si>
    <t>MANTA CE - 100% BABY ALPACA TABACO</t>
  </si>
  <si>
    <t>HC/PT46</t>
  </si>
  <si>
    <t>manta-ce-100-baby-alpaca-tabaco</t>
  </si>
  <si>
    <t>HC-VAJ-001</t>
  </si>
  <si>
    <t>Cuenco Lucca L</t>
  </si>
  <si>
    <t>[DBD11NA3392]</t>
  </si>
  <si>
    <t>cuenco-lucca-l</t>
  </si>
  <si>
    <t>HC-VAJ-002</t>
  </si>
  <si>
    <t>Frasco EGG N1</t>
  </si>
  <si>
    <t>HC/ADS58</t>
  </si>
  <si>
    <t>frasco-egg-n1</t>
  </si>
  <si>
    <t>HC-VAJ-003</t>
  </si>
  <si>
    <t>Frasco EGG N2</t>
  </si>
  <si>
    <t>HC/ADS59</t>
  </si>
  <si>
    <t>frasco-egg-n2</t>
  </si>
  <si>
    <t>HC-VAJ-004</t>
  </si>
  <si>
    <t>Platos de madera de Guayibira 22diam</t>
  </si>
  <si>
    <t>HC/PG22</t>
  </si>
  <si>
    <t>6</t>
  </si>
  <si>
    <t>platos-de-madera-de-guayibira-22diam</t>
  </si>
  <si>
    <t>en canasta de picnic showroom</t>
  </si>
  <si>
    <t>HC-VAJ-005</t>
  </si>
  <si>
    <t>Tarros grandes gres</t>
  </si>
  <si>
    <t>HC/BRACO01</t>
  </si>
  <si>
    <t>tarros-grandes-gres</t>
  </si>
  <si>
    <t>1 showroom</t>
  </si>
  <si>
    <t>HC-VAJ-006</t>
  </si>
  <si>
    <t>Tarros medianos gres</t>
  </si>
  <si>
    <t>HC/BRACO02</t>
  </si>
  <si>
    <t>tarros-medianos-gres</t>
  </si>
  <si>
    <t>1 rota placard fondo, 1 showroom</t>
  </si>
  <si>
    <t>HC-VAJ-007</t>
  </si>
  <si>
    <t>platos colores</t>
  </si>
  <si>
    <t>HC/JP-PL</t>
  </si>
  <si>
    <t>platos-colores</t>
  </si>
  <si>
    <t>HC-VEL-001</t>
  </si>
  <si>
    <t>Candelabro 3 velas</t>
  </si>
  <si>
    <t>Velas</t>
  </si>
  <si>
    <t>HC/JP-CD</t>
  </si>
  <si>
    <t>candelabro-3-velas</t>
  </si>
  <si>
    <t>HC-VEL-002</t>
  </si>
  <si>
    <t>PORTAVELA LUGO SET X 2 PORTAVELA DE ALUMINIO CON ASA · SET X 2 · COLOR NEGRO · MEDIDAS: 11 x H5cm | 13 x H8cm</t>
  </si>
  <si>
    <t>2 M</t>
  </si>
  <si>
    <t>portavela-lugo-set-x-2-portavela-de-aluminio-con-asa-set-x-2-color-neg</t>
  </si>
  <si>
    <t>Deposito estanteria cajas, 1 set showroo</t>
  </si>
  <si>
    <t>HC-VEL-003</t>
  </si>
  <si>
    <t>VELA ACHECE BLANCA</t>
  </si>
  <si>
    <t>HC/VHC</t>
  </si>
  <si>
    <t>20</t>
  </si>
  <si>
    <t>vela-achece-blanca</t>
  </si>
  <si>
    <t>14 deposito estanteria, 5 placard fondo,</t>
  </si>
  <si>
    <t>HC-VEL-004</t>
  </si>
  <si>
    <t>VELA ACHECE NEGRA</t>
  </si>
  <si>
    <t>12</t>
  </si>
  <si>
    <t>vela-achece-negra</t>
  </si>
  <si>
    <t>11 placard fondo, 2 showroom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</si>
</sst>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\$#,##0;&quot;($&quot;#,##0\);\-"/>
    <numFmt numFmtId="165" formatCode="0.0%"/>
    <numFmt numFmtId="166" formatCode="\$#,##0"/>
  </numFmts>
  <fonts count="8">
    <font>
      <sz val="11.0"/>
      <color theme="1"/>
      <name val="Calibri"/>
      <scheme val="minor"/>
    </font>
    <font>
      <b/>
      <sz val="14.0"/>
      <color rgb="FF1F4B43"/>
      <name val="Arial"/>
    </font>
    <font>
      <b/>
      <sz val="10.0"/>
      <color rgb="FF1A1A1A"/>
      <name val="Arial"/>
    </font>
    <font>
      <sz val="10.0"/>
      <color rgb="FF1A1A1A"/>
      <name val="Arial"/>
    </font>
    <font>
      <sz val="9.0"/>
      <color rgb="FF6E736C"/>
      <name val="Arial"/>
    </font>
    <font>
      <b/>
      <sz val="10.0"/>
      <color rgb="FFFFFFFF"/>
      <name val="Arial"/>
    </font>
    <font>
      <b/>
      <sz val="10.0"/>
      <color rgb="FF8A3324"/>
      <name val="Arial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F4B43"/>
        <bgColor rgb="FF1F4B43"/>
      </patternFill>
    </fill>
    <fill>
      <patternFill patternType="solid">
        <fgColor rgb="FFFFFF00"/>
        <bgColor rgb="FFFFFF00"/>
      </patternFill>
    </fill>
    <fill>
      <patternFill patternType="solid">
        <fgColor rgb="FFF2DFD9"/>
        <bgColor rgb="FFF2DFD9"/>
      </patternFill>
    </fill>
  </fills>
  <borders count="2">
    <border/>
    <border>
      <left style="thin">
        <color rgb="FFD8D8D0"/>
      </left>
      <right style="thin">
        <color rgb="FFD8D8D0"/>
      </right>
      <top style="thin">
        <color rgb="FFD8D8D0"/>
      </top>
      <bottom style="thin">
        <color rgb="FFD8D8D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shrinkToFit="0" vertical="bottom" wrapText="0"/>
    </xf>
    <xf borderId="1" fillId="2" fontId="5" numFmtId="0" xfId="0" applyAlignment="1" applyBorder="1" applyFill="1" applyFont="1">
      <alignment shrinkToFit="0" vertical="bottom" wrapText="0"/>
    </xf>
    <xf borderId="1" fillId="2" fontId="5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shrinkToFit="0" vertical="top" wrapText="1"/>
    </xf>
    <xf borderId="1" fillId="0" fontId="6" numFmtId="0" xfId="0" applyAlignment="1" applyBorder="1" applyFont="1">
      <alignment horizontal="center" shrinkToFit="0" vertical="bottom" wrapText="0"/>
    </xf>
    <xf borderId="1" fillId="0" fontId="3" numFmtId="164" xfId="0" applyAlignment="1" applyBorder="1" applyFont="1" applyNumberFormat="1">
      <alignment shrinkToFit="0" vertical="bottom" wrapText="0"/>
    </xf>
    <xf borderId="1" fillId="0" fontId="3" numFmtId="165" xfId="0" applyAlignment="1" applyBorder="1" applyFont="1" applyNumberFormat="1">
      <alignment shrinkToFit="0" vertical="bottom" wrapText="0"/>
    </xf>
    <xf borderId="1" fillId="3" fontId="7" numFmtId="0" xfId="0" applyAlignment="1" applyBorder="1" applyFill="1" applyFont="1">
      <alignment shrinkToFit="0" vertical="bottom" wrapText="0"/>
    </xf>
    <xf borderId="1" fillId="3" fontId="3" numFmtId="0" xfId="0" applyAlignment="1" applyBorder="1" applyFill="1" applyFont="1">
      <alignment shrinkToFit="0" vertical="bottom" wrapText="0"/>
    </xf>
    <xf borderId="1" fillId="0" fontId="3" numFmtId="0" xfId="0" applyAlignment="1" applyBorder="1" applyFont="1">
      <alignment horizontal="center" shrinkToFit="0" vertical="bottom" wrapText="0"/>
    </xf>
    <xf borderId="1" fillId="0" fontId="3" numFmtId="9" xfId="0" applyAlignment="1" applyBorder="1" applyFont="1" applyNumberFormat="1">
      <alignment shrinkToFit="0" vertical="bottom" wrapText="0"/>
    </xf>
    <xf borderId="0" fillId="0" fontId="6" numFmtId="0" xfId="0" applyAlignment="1" applyFont="1">
      <alignment shrinkToFit="0" vertical="bottom" wrapText="0"/>
    </xf>
    <xf borderId="1" fillId="0" fontId="4" numFmtId="0" xfId="0" applyAlignment="1" applyBorder="1" applyFont="1">
      <alignment shrinkToFit="0" vertical="bottom" wrapText="0"/>
    </xf>
    <xf borderId="0" fillId="0" fontId="3" numFmtId="9" xfId="0" applyAlignment="1" applyFont="1" applyNumberFormat="1">
      <alignment shrinkToFit="0" vertical="bottom" wrapText="0"/>
    </xf>
    <xf borderId="0" fillId="0" fontId="3" numFmtId="166" xfId="0" applyAlignment="1" applyFont="1" applyNumberForma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4" fontId="3" numFmtId="0" xfId="0" applyAlignment="1" applyBorder="1" applyFill="1" applyFont="1">
      <alignment shrinkToFit="0" vertical="bottom" wrapText="0"/>
    </xf>
    <xf borderId="1" fillId="4" fontId="3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B43"/>
    <pageSetUpPr/>
  </sheetPr>
  <sheetViews>
    <sheetView showGridLines="0" workbookViewId="0"/>
  </sheetViews>
  <sheetFormatPr customHeight="1" defaultColWidth="14.43" defaultRowHeight="15.0"/>
  <cols>
    <col customWidth="1" min="1" max="1" width="34.0"/>
    <col customWidth="1" min="2" max="2" width="96.0"/>
    <col customWidth="1" min="3" max="26" width="8.71"/>
  </cols>
  <sheetData>
    <row r="1">
      <c r="A1" s="1" t="s">
        <v>0</v>
      </c>
    </row>
    <row r="2">
      <c r="A2" s="2" t="s">
        <v>1</v>
      </c>
      <c r="B2" s="3" t="s">
        <v>2</v>
      </c>
    </row>
    <row r="4">
      <c r="A4" s="2"/>
      <c r="B4" s="3"/>
    </row>
    <row r="5">
      <c r="A5" s="2"/>
      <c r="B5" s="3"/>
    </row>
    <row r="6">
      <c r="A6" s="2" t="s">
        <v>3</v>
      </c>
      <c r="B6" s="3" t="s">
        <v>4</v>
      </c>
    </row>
    <row r="8">
      <c r="A8" s="2" t="s">
        <v>5</v>
      </c>
    </row>
    <row r="9">
      <c r="A9" s="2" t="s">
        <v>6</v>
      </c>
      <c r="B9" s="3"/>
    </row>
    <row r="10">
      <c r="A10" s="2" t="s">
        <v>7</v>
      </c>
      <c r="B10" s="3"/>
    </row>
    <row r="11">
      <c r="A11" s="2" t="s">
        <v>8</v>
      </c>
      <c r="B11" s="3"/>
    </row>
    <row r="12">
      <c r="A12" s="2" t="s">
        <v>9</v>
      </c>
      <c r="B12" s="3"/>
    </row>
    <row r="13">
      <c r="A13" s="2" t="s">
        <v>10</v>
      </c>
      <c r="B13" s="3"/>
    </row>
    <row r="14">
      <c r="A14" s="2" t="s">
        <v>11</v>
      </c>
      <c r="B14" s="3" t="s">
        <v>13</v>
      </c>
    </row>
    <row r="15">
      <c r="A15" s="2" t="s">
        <v>14</v>
      </c>
      <c r="B15" s="3" t="s">
        <v>16</v>
      </c>
    </row>
    <row r="17">
      <c r="A17" s="2" t="s">
        <v>18</v>
      </c>
    </row>
    <row r="18">
      <c r="A18" s="2" t="s">
        <v>19</v>
      </c>
      <c r="B18" s="3" t="s">
        <v>20</v>
      </c>
    </row>
    <row r="19">
      <c r="A19" s="2" t="s">
        <v>22</v>
      </c>
      <c r="B19" s="3" t="s">
        <v>23</v>
      </c>
    </row>
    <row r="20">
      <c r="A20" s="2" t="s">
        <v>24</v>
      </c>
      <c r="B20" s="3" t="s">
        <v>25</v>
      </c>
    </row>
    <row r="21" ht="15.75" customHeight="1">
      <c r="A21" s="2" t="s">
        <v>26</v>
      </c>
      <c r="B21" s="3" t="s">
        <v>28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B43"/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14.0"/>
    <col customWidth="1" min="2" max="2" width="46.0"/>
    <col customWidth="1" min="3" max="4" width="22.0"/>
    <col customWidth="1" min="5" max="5" width="24.0"/>
    <col customWidth="1" min="6" max="7" width="18.0"/>
    <col customWidth="1" min="8" max="8" width="14.0"/>
    <col customWidth="1" min="9" max="9" width="10.0"/>
    <col customWidth="1" min="10" max="10" width="12.0"/>
    <col customWidth="1" min="11" max="11" width="18.0"/>
    <col customWidth="1" min="12" max="14" width="8.0"/>
    <col customWidth="1" min="15" max="15" width="9.0"/>
    <col customWidth="1" min="16" max="16" width="12.0"/>
    <col customWidth="1" min="17" max="17" width="11.0"/>
    <col customWidth="1" min="18" max="18" width="24.0"/>
    <col customWidth="1" min="19" max="19" width="40.0"/>
    <col customWidth="1" min="20" max="20" width="22.0"/>
    <col customWidth="1" min="21" max="21" width="34.0"/>
    <col customWidth="1" min="22" max="22" width="24.0"/>
    <col customWidth="1" min="23" max="23" width="20.0"/>
    <col customWidth="1" min="24" max="24" width="12.0"/>
    <col customWidth="1" min="25" max="25" width="16.0"/>
    <col customWidth="1" min="26" max="26" width="32.0"/>
    <col customWidth="1" min="27" max="27" width="52.0"/>
  </cols>
  <sheetData>
    <row r="1">
      <c r="A1" s="1" t="s">
        <v>15</v>
      </c>
    </row>
    <row r="2">
      <c r="A2" s="4" t="s">
        <v>21</v>
      </c>
    </row>
    <row r="4" ht="31.5" customHeight="1">
      <c r="A4" s="6" t="s">
        <v>29</v>
      </c>
      <c r="B4" s="6" t="s">
        <v>35</v>
      </c>
      <c r="C4" s="6" t="s">
        <v>36</v>
      </c>
      <c r="D4" s="6" t="s">
        <v>37</v>
      </c>
      <c r="E4" s="6" t="s">
        <v>39</v>
      </c>
      <c r="F4" s="6" t="s">
        <v>40</v>
      </c>
      <c r="G4" s="6" t="s">
        <v>41</v>
      </c>
      <c r="H4" s="6" t="s">
        <v>42</v>
      </c>
      <c r="I4" s="6" t="s">
        <v>43</v>
      </c>
      <c r="J4" s="6" t="s">
        <v>44</v>
      </c>
      <c r="K4" s="6" t="s">
        <v>45</v>
      </c>
      <c r="L4" s="6" t="s">
        <v>46</v>
      </c>
      <c r="M4" s="6" t="s">
        <v>47</v>
      </c>
      <c r="N4" s="6" t="s">
        <v>48</v>
      </c>
      <c r="O4" s="6" t="s">
        <v>38</v>
      </c>
      <c r="P4" s="6" t="s">
        <v>49</v>
      </c>
      <c r="Q4" s="6" t="s">
        <v>50</v>
      </c>
      <c r="R4" s="6" t="s">
        <v>51</v>
      </c>
      <c r="S4" s="6" t="s">
        <v>52</v>
      </c>
      <c r="T4" s="6" t="s">
        <v>53</v>
      </c>
      <c r="U4" s="6" t="s">
        <v>54</v>
      </c>
      <c r="V4" s="6" t="s">
        <v>55</v>
      </c>
      <c r="W4" s="6" t="s">
        <v>56</v>
      </c>
      <c r="X4" s="6" t="s">
        <v>59</v>
      </c>
      <c r="Y4" s="6" t="s">
        <v>60</v>
      </c>
      <c r="Z4" s="6" t="s">
        <v>61</v>
      </c>
      <c r="AA4" s="6" t="s">
        <v>62</v>
      </c>
    </row>
    <row r="5">
      <c r="A5" s="8" t="s">
        <v>63</v>
      </c>
      <c r="B5" s="9" t="s">
        <v>67</v>
      </c>
      <c r="C5" s="8" t="s">
        <v>68</v>
      </c>
      <c r="D5" s="8" t="s">
        <v>70</v>
      </c>
      <c r="E5" s="8" t="s">
        <v>76</v>
      </c>
      <c r="F5" s="8" t="s">
        <v>78</v>
      </c>
      <c r="G5" s="11">
        <v>880000.0</v>
      </c>
      <c r="H5" s="11">
        <v>616000.0</v>
      </c>
      <c r="I5" s="12">
        <f t="shared" ref="I5:I153" si="1">IFERROR((G5-H5)/G5,"")</f>
        <v>0.3</v>
      </c>
      <c r="J5" s="14"/>
      <c r="K5" s="8" t="s">
        <v>85</v>
      </c>
      <c r="L5" s="14"/>
      <c r="M5" s="14"/>
      <c r="N5" s="14"/>
      <c r="O5" s="14"/>
      <c r="P5" s="14"/>
      <c r="Q5" s="14"/>
      <c r="R5" s="14"/>
      <c r="S5" s="14"/>
      <c r="T5" s="14"/>
      <c r="U5" s="8" t="s">
        <v>91</v>
      </c>
      <c r="V5" s="8" t="s">
        <v>92</v>
      </c>
      <c r="W5" s="8" t="s">
        <v>93</v>
      </c>
      <c r="X5" s="16">
        <f t="shared" ref="X5:X153" si="2">IFERROR(COUNTA(C5,G5,J5,L5,O5,P5,R5,S5,T5,U5)/10,"")</f>
        <v>0.3</v>
      </c>
      <c r="Y5" s="15" t="str">
        <f t="shared" ref="Y5:Y153" si="3">IF(AND(C5&lt;&gt;"",G5&lt;&gt;"",J5&lt;&gt;"",O5&lt;&gt;"",S5&lt;&gt;"",T5&lt;&gt;""),"SÍ","no")</f>
        <v>no</v>
      </c>
      <c r="Z5" s="8" t="s">
        <v>114</v>
      </c>
      <c r="AA5" s="8"/>
    </row>
    <row r="6">
      <c r="A6" s="8" t="s">
        <v>117</v>
      </c>
      <c r="B6" s="9" t="s">
        <v>118</v>
      </c>
      <c r="C6" s="8" t="s">
        <v>68</v>
      </c>
      <c r="D6" s="8" t="s">
        <v>107</v>
      </c>
      <c r="E6" s="8" t="s">
        <v>76</v>
      </c>
      <c r="F6" s="8" t="s">
        <v>120</v>
      </c>
      <c r="G6" s="11">
        <v>66463.0</v>
      </c>
      <c r="H6" s="11">
        <v>22511.0</v>
      </c>
      <c r="I6" s="12">
        <f t="shared" si="1"/>
        <v>0.6613002723</v>
      </c>
      <c r="J6" s="14">
        <v>2.0</v>
      </c>
      <c r="K6" s="8" t="s">
        <v>126</v>
      </c>
      <c r="L6" s="14">
        <v>2.0</v>
      </c>
      <c r="M6" s="14">
        <v>26.0</v>
      </c>
      <c r="N6" s="14">
        <v>19.0</v>
      </c>
      <c r="O6" s="14"/>
      <c r="P6" s="14"/>
      <c r="Q6" s="14"/>
      <c r="R6" s="14"/>
      <c r="S6" s="14"/>
      <c r="T6" s="14"/>
      <c r="U6" s="8" t="s">
        <v>129</v>
      </c>
      <c r="V6" s="8"/>
      <c r="W6" s="8" t="s">
        <v>130</v>
      </c>
      <c r="X6" s="16">
        <f t="shared" si="2"/>
        <v>0.5</v>
      </c>
      <c r="Y6" s="15" t="str">
        <f t="shared" si="3"/>
        <v>no</v>
      </c>
      <c r="Z6" s="8" t="s">
        <v>114</v>
      </c>
      <c r="AA6" s="8" t="s">
        <v>140</v>
      </c>
    </row>
    <row r="7">
      <c r="A7" s="8" t="s">
        <v>142</v>
      </c>
      <c r="B7" s="9" t="s">
        <v>143</v>
      </c>
      <c r="C7" s="8" t="s">
        <v>68</v>
      </c>
      <c r="D7" s="8" t="s">
        <v>70</v>
      </c>
      <c r="E7" s="8" t="s">
        <v>76</v>
      </c>
      <c r="F7" s="8" t="s">
        <v>145</v>
      </c>
      <c r="G7" s="11">
        <v>275000.0</v>
      </c>
      <c r="H7" s="11">
        <v>192500.0</v>
      </c>
      <c r="I7" s="12">
        <f t="shared" si="1"/>
        <v>0.3</v>
      </c>
      <c r="J7" s="14">
        <v>1.0</v>
      </c>
      <c r="K7" s="8" t="s">
        <v>85</v>
      </c>
      <c r="L7" s="14"/>
      <c r="M7" s="14"/>
      <c r="N7" s="14"/>
      <c r="O7" s="14"/>
      <c r="P7" s="14"/>
      <c r="Q7" s="14"/>
      <c r="R7" s="14"/>
      <c r="S7" s="14"/>
      <c r="T7" s="14"/>
      <c r="U7" s="8" t="s">
        <v>151</v>
      </c>
      <c r="V7" s="8" t="s">
        <v>153</v>
      </c>
      <c r="W7" s="8" t="s">
        <v>155</v>
      </c>
      <c r="X7" s="16">
        <f t="shared" si="2"/>
        <v>0.4</v>
      </c>
      <c r="Y7" s="15" t="str">
        <f t="shared" si="3"/>
        <v>no</v>
      </c>
      <c r="Z7" s="8" t="s">
        <v>114</v>
      </c>
      <c r="AA7" s="8"/>
    </row>
    <row r="8">
      <c r="A8" s="8" t="s">
        <v>166</v>
      </c>
      <c r="B8" s="9" t="s">
        <v>167</v>
      </c>
      <c r="C8" s="8" t="s">
        <v>68</v>
      </c>
      <c r="D8" s="8" t="s">
        <v>70</v>
      </c>
      <c r="E8" s="8" t="s">
        <v>76</v>
      </c>
      <c r="F8" s="8" t="s">
        <v>170</v>
      </c>
      <c r="G8" s="11">
        <v>335000.0</v>
      </c>
      <c r="H8" s="11">
        <v>234500.0</v>
      </c>
      <c r="I8" s="12">
        <f t="shared" si="1"/>
        <v>0.3</v>
      </c>
      <c r="J8" s="14">
        <v>2.0</v>
      </c>
      <c r="K8" s="8" t="s">
        <v>175</v>
      </c>
      <c r="L8" s="14"/>
      <c r="M8" s="14"/>
      <c r="N8" s="14"/>
      <c r="O8" s="14"/>
      <c r="P8" s="14"/>
      <c r="Q8" s="14"/>
      <c r="R8" s="14"/>
      <c r="S8" s="14"/>
      <c r="T8" s="14"/>
      <c r="U8" s="8" t="s">
        <v>176</v>
      </c>
      <c r="V8" s="8" t="s">
        <v>178</v>
      </c>
      <c r="W8" s="8" t="s">
        <v>179</v>
      </c>
      <c r="X8" s="16">
        <f t="shared" si="2"/>
        <v>0.4</v>
      </c>
      <c r="Y8" s="15" t="str">
        <f t="shared" si="3"/>
        <v>no</v>
      </c>
      <c r="Z8" s="8" t="s">
        <v>114</v>
      </c>
      <c r="AA8" s="8"/>
    </row>
    <row r="9">
      <c r="A9" s="8" t="s">
        <v>184</v>
      </c>
      <c r="B9" s="9" t="s">
        <v>185</v>
      </c>
      <c r="C9" s="8" t="s">
        <v>68</v>
      </c>
      <c r="D9" s="8" t="s">
        <v>70</v>
      </c>
      <c r="E9" s="8" t="s">
        <v>76</v>
      </c>
      <c r="F9" s="8" t="s">
        <v>188</v>
      </c>
      <c r="G9" s="11">
        <v>1480000.0</v>
      </c>
      <c r="H9" s="11">
        <v>1036000.0</v>
      </c>
      <c r="I9" s="12">
        <f t="shared" si="1"/>
        <v>0.3</v>
      </c>
      <c r="J9" s="14">
        <v>1.0</v>
      </c>
      <c r="K9" s="8" t="s">
        <v>85</v>
      </c>
      <c r="L9" s="14"/>
      <c r="M9" s="14"/>
      <c r="N9" s="14"/>
      <c r="O9" s="14"/>
      <c r="P9" s="14"/>
      <c r="Q9" s="14"/>
      <c r="R9" s="14"/>
      <c r="S9" s="14"/>
      <c r="T9" s="14"/>
      <c r="U9" s="8" t="s">
        <v>193</v>
      </c>
      <c r="V9" s="8" t="s">
        <v>194</v>
      </c>
      <c r="W9" s="8" t="s">
        <v>93</v>
      </c>
      <c r="X9" s="16">
        <f t="shared" si="2"/>
        <v>0.4</v>
      </c>
      <c r="Y9" s="15" t="str">
        <f t="shared" si="3"/>
        <v>no</v>
      </c>
      <c r="Z9" s="8" t="s">
        <v>114</v>
      </c>
      <c r="AA9" s="8"/>
    </row>
    <row r="10">
      <c r="A10" s="8" t="s">
        <v>201</v>
      </c>
      <c r="B10" s="9" t="s">
        <v>204</v>
      </c>
      <c r="C10" s="8" t="s">
        <v>68</v>
      </c>
      <c r="D10" s="8" t="s">
        <v>183</v>
      </c>
      <c r="E10" s="8" t="s">
        <v>94</v>
      </c>
      <c r="F10" s="8" t="s">
        <v>207</v>
      </c>
      <c r="G10" s="11">
        <v>666120.0</v>
      </c>
      <c r="H10" s="11">
        <v>382200.0</v>
      </c>
      <c r="I10" s="12">
        <f t="shared" si="1"/>
        <v>0.4262295082</v>
      </c>
      <c r="J10" s="14"/>
      <c r="K10" s="8"/>
      <c r="L10" s="14"/>
      <c r="M10" s="14"/>
      <c r="N10" s="14"/>
      <c r="O10" s="14"/>
      <c r="P10" s="14"/>
      <c r="Q10" s="14"/>
      <c r="R10" s="14"/>
      <c r="S10" s="14"/>
      <c r="T10" s="14"/>
      <c r="U10" s="8" t="s">
        <v>213</v>
      </c>
      <c r="V10" s="8"/>
      <c r="W10" s="8" t="s">
        <v>130</v>
      </c>
      <c r="X10" s="16">
        <f t="shared" si="2"/>
        <v>0.3</v>
      </c>
      <c r="Y10" s="15" t="str">
        <f t="shared" si="3"/>
        <v>no</v>
      </c>
      <c r="Z10" s="8" t="s">
        <v>114</v>
      </c>
      <c r="AA10" s="8"/>
    </row>
    <row r="11">
      <c r="A11" s="8" t="s">
        <v>219</v>
      </c>
      <c r="B11" s="9" t="s">
        <v>220</v>
      </c>
      <c r="C11" s="8" t="s">
        <v>68</v>
      </c>
      <c r="D11" s="8" t="s">
        <v>106</v>
      </c>
      <c r="E11" s="8" t="s">
        <v>76</v>
      </c>
      <c r="F11" s="8" t="s">
        <v>223</v>
      </c>
      <c r="G11" s="11">
        <v>165000.0</v>
      </c>
      <c r="H11" s="11">
        <v>115500.0</v>
      </c>
      <c r="I11" s="12">
        <f t="shared" si="1"/>
        <v>0.3</v>
      </c>
      <c r="J11" s="14"/>
      <c r="K11" s="8" t="s">
        <v>226</v>
      </c>
      <c r="L11" s="14">
        <v>19.0</v>
      </c>
      <c r="M11" s="14">
        <v>73.0</v>
      </c>
      <c r="N11" s="14"/>
      <c r="O11" s="14"/>
      <c r="P11" s="14"/>
      <c r="Q11" s="14"/>
      <c r="R11" s="14"/>
      <c r="S11" s="14"/>
      <c r="T11" s="14"/>
      <c r="U11" s="8" t="s">
        <v>228</v>
      </c>
      <c r="V11" s="8" t="s">
        <v>153</v>
      </c>
      <c r="W11" s="8" t="s">
        <v>155</v>
      </c>
      <c r="X11" s="16">
        <f t="shared" si="2"/>
        <v>0.4</v>
      </c>
      <c r="Y11" s="15" t="str">
        <f t="shared" si="3"/>
        <v>no</v>
      </c>
      <c r="Z11" s="8" t="s">
        <v>114</v>
      </c>
      <c r="AA11" s="8"/>
    </row>
    <row r="12">
      <c r="A12" s="8" t="s">
        <v>229</v>
      </c>
      <c r="B12" s="9" t="s">
        <v>230</v>
      </c>
      <c r="C12" s="8" t="s">
        <v>68</v>
      </c>
      <c r="D12" s="8" t="s">
        <v>70</v>
      </c>
      <c r="E12" s="8" t="s">
        <v>76</v>
      </c>
      <c r="F12" s="8" t="s">
        <v>231</v>
      </c>
      <c r="G12" s="11">
        <v>354900.0</v>
      </c>
      <c r="H12" s="11">
        <v>273000.0</v>
      </c>
      <c r="I12" s="12">
        <f t="shared" si="1"/>
        <v>0.2307692308</v>
      </c>
      <c r="J12" s="14"/>
      <c r="K12" s="8" t="s">
        <v>232</v>
      </c>
      <c r="L12" s="14"/>
      <c r="M12" s="14"/>
      <c r="N12" s="14"/>
      <c r="O12" s="14"/>
      <c r="P12" s="14"/>
      <c r="Q12" s="14"/>
      <c r="R12" s="14"/>
      <c r="S12" s="14"/>
      <c r="T12" s="14"/>
      <c r="U12" s="8" t="s">
        <v>233</v>
      </c>
      <c r="V12" s="8" t="s">
        <v>153</v>
      </c>
      <c r="W12" s="8" t="s">
        <v>155</v>
      </c>
      <c r="X12" s="16">
        <f t="shared" si="2"/>
        <v>0.3</v>
      </c>
      <c r="Y12" s="15" t="str">
        <f t="shared" si="3"/>
        <v>no</v>
      </c>
      <c r="Z12" s="8" t="s">
        <v>114</v>
      </c>
      <c r="AA12" s="8"/>
    </row>
    <row r="13">
      <c r="A13" s="8" t="s">
        <v>234</v>
      </c>
      <c r="B13" s="9" t="s">
        <v>235</v>
      </c>
      <c r="C13" s="8" t="s">
        <v>236</v>
      </c>
      <c r="D13" s="8" t="s">
        <v>99</v>
      </c>
      <c r="E13" s="8" t="s">
        <v>76</v>
      </c>
      <c r="F13" s="8" t="s">
        <v>237</v>
      </c>
      <c r="G13" s="11">
        <v>218483.0</v>
      </c>
      <c r="H13" s="11">
        <v>74002.0</v>
      </c>
      <c r="I13" s="12">
        <f t="shared" si="1"/>
        <v>0.6612917252</v>
      </c>
      <c r="J13" s="14"/>
      <c r="K13" s="8" t="s">
        <v>126</v>
      </c>
      <c r="L13" s="14">
        <v>28.0</v>
      </c>
      <c r="M13" s="14">
        <v>28.0</v>
      </c>
      <c r="N13" s="14"/>
      <c r="O13" s="14"/>
      <c r="P13" s="14"/>
      <c r="Q13" s="14"/>
      <c r="R13" s="14"/>
      <c r="S13" s="14"/>
      <c r="T13" s="14"/>
      <c r="U13" s="8" t="s">
        <v>238</v>
      </c>
      <c r="V13" s="8"/>
      <c r="W13" s="8" t="s">
        <v>130</v>
      </c>
      <c r="X13" s="16">
        <f t="shared" si="2"/>
        <v>0.4</v>
      </c>
      <c r="Y13" s="15" t="str">
        <f t="shared" si="3"/>
        <v>no</v>
      </c>
      <c r="Z13" s="8" t="s">
        <v>114</v>
      </c>
      <c r="AA13" s="8"/>
    </row>
    <row r="14">
      <c r="A14" s="8" t="s">
        <v>239</v>
      </c>
      <c r="B14" s="9" t="s">
        <v>240</v>
      </c>
      <c r="C14" s="8" t="s">
        <v>236</v>
      </c>
      <c r="D14" s="8" t="s">
        <v>99</v>
      </c>
      <c r="E14" s="8" t="s">
        <v>76</v>
      </c>
      <c r="F14" s="8" t="s">
        <v>241</v>
      </c>
      <c r="G14" s="11">
        <v>444205.0</v>
      </c>
      <c r="H14" s="11">
        <v>150456.0</v>
      </c>
      <c r="I14" s="12">
        <f t="shared" si="1"/>
        <v>0.6612915208</v>
      </c>
      <c r="J14" s="14"/>
      <c r="K14" s="8" t="s">
        <v>126</v>
      </c>
      <c r="L14" s="14"/>
      <c r="M14" s="14"/>
      <c r="N14" s="14"/>
      <c r="O14" s="14"/>
      <c r="P14" s="14"/>
      <c r="Q14" s="14"/>
      <c r="R14" s="14"/>
      <c r="S14" s="14"/>
      <c r="T14" s="14"/>
      <c r="U14" s="8" t="s">
        <v>242</v>
      </c>
      <c r="V14" s="8"/>
      <c r="W14" s="8" t="s">
        <v>130</v>
      </c>
      <c r="X14" s="16">
        <f t="shared" si="2"/>
        <v>0.3</v>
      </c>
      <c r="Y14" s="15" t="str">
        <f t="shared" si="3"/>
        <v>no</v>
      </c>
      <c r="Z14" s="8" t="s">
        <v>114</v>
      </c>
      <c r="AA14" s="8"/>
    </row>
    <row r="15">
      <c r="A15" s="8" t="s">
        <v>243</v>
      </c>
      <c r="B15" s="9" t="s">
        <v>244</v>
      </c>
      <c r="C15" s="8" t="s">
        <v>236</v>
      </c>
      <c r="D15" s="8" t="s">
        <v>83</v>
      </c>
      <c r="E15" s="8" t="s">
        <v>76</v>
      </c>
      <c r="F15" s="8" t="s">
        <v>245</v>
      </c>
      <c r="G15" s="11">
        <v>88572.0</v>
      </c>
      <c r="H15" s="11">
        <v>30000.0</v>
      </c>
      <c r="I15" s="12">
        <f t="shared" si="1"/>
        <v>0.6612925078</v>
      </c>
      <c r="J15" s="14"/>
      <c r="K15" s="8" t="s">
        <v>175</v>
      </c>
      <c r="L15" s="14"/>
      <c r="M15" s="14"/>
      <c r="N15" s="14"/>
      <c r="O15" s="14"/>
      <c r="P15" s="14"/>
      <c r="Q15" s="14"/>
      <c r="R15" s="14"/>
      <c r="S15" s="14"/>
      <c r="T15" s="14"/>
      <c r="U15" s="8" t="s">
        <v>246</v>
      </c>
      <c r="V15" s="8" t="s">
        <v>155</v>
      </c>
      <c r="W15" s="8" t="s">
        <v>155</v>
      </c>
      <c r="X15" s="16">
        <f t="shared" si="2"/>
        <v>0.3</v>
      </c>
      <c r="Y15" s="15" t="str">
        <f t="shared" si="3"/>
        <v>no</v>
      </c>
      <c r="Z15" s="8" t="s">
        <v>114</v>
      </c>
      <c r="AA15" s="8" t="s">
        <v>247</v>
      </c>
    </row>
    <row r="16">
      <c r="A16" s="8" t="s">
        <v>248</v>
      </c>
      <c r="B16" s="9" t="s">
        <v>249</v>
      </c>
      <c r="C16" s="8" t="s">
        <v>137</v>
      </c>
      <c r="D16" s="8" t="s">
        <v>109</v>
      </c>
      <c r="E16" s="8" t="s">
        <v>76</v>
      </c>
      <c r="F16" s="8" t="s">
        <v>250</v>
      </c>
      <c r="G16" s="11">
        <v>600.0</v>
      </c>
      <c r="H16" s="11">
        <v>300.0</v>
      </c>
      <c r="I16" s="12">
        <f t="shared" si="1"/>
        <v>0.5</v>
      </c>
      <c r="J16" s="14"/>
      <c r="K16" s="8" t="s">
        <v>85</v>
      </c>
      <c r="L16" s="14"/>
      <c r="M16" s="14"/>
      <c r="N16" s="14"/>
      <c r="O16" s="14"/>
      <c r="P16" s="14"/>
      <c r="Q16" s="14"/>
      <c r="R16" s="14"/>
      <c r="S16" s="14"/>
      <c r="T16" s="14"/>
      <c r="U16" s="8" t="s">
        <v>251</v>
      </c>
      <c r="V16" s="8" t="s">
        <v>252</v>
      </c>
      <c r="W16" s="8" t="s">
        <v>253</v>
      </c>
      <c r="X16" s="16">
        <f t="shared" si="2"/>
        <v>0.3</v>
      </c>
      <c r="Y16" s="15" t="str">
        <f t="shared" si="3"/>
        <v>no</v>
      </c>
      <c r="Z16" s="8" t="s">
        <v>114</v>
      </c>
      <c r="AA16" s="8"/>
    </row>
    <row r="17">
      <c r="A17" s="8" t="s">
        <v>254</v>
      </c>
      <c r="B17" s="9" t="s">
        <v>255</v>
      </c>
      <c r="C17" s="8" t="s">
        <v>137</v>
      </c>
      <c r="D17" s="8" t="s">
        <v>109</v>
      </c>
      <c r="E17" s="8" t="s">
        <v>76</v>
      </c>
      <c r="F17" s="8" t="s">
        <v>256</v>
      </c>
      <c r="G17" s="11">
        <v>600.0</v>
      </c>
      <c r="H17" s="11">
        <v>300.0</v>
      </c>
      <c r="I17" s="12">
        <f t="shared" si="1"/>
        <v>0.5</v>
      </c>
      <c r="J17" s="14"/>
      <c r="K17" s="8" t="s">
        <v>85</v>
      </c>
      <c r="L17" s="14"/>
      <c r="M17" s="14"/>
      <c r="N17" s="14"/>
      <c r="O17" s="14"/>
      <c r="P17" s="14"/>
      <c r="Q17" s="14"/>
      <c r="R17" s="14"/>
      <c r="S17" s="14"/>
      <c r="T17" s="14"/>
      <c r="U17" s="8" t="s">
        <v>292</v>
      </c>
      <c r="V17" s="8" t="s">
        <v>252</v>
      </c>
      <c r="W17" s="8" t="s">
        <v>253</v>
      </c>
      <c r="X17" s="16">
        <f t="shared" si="2"/>
        <v>0.3</v>
      </c>
      <c r="Y17" s="15" t="str">
        <f t="shared" si="3"/>
        <v>no</v>
      </c>
      <c r="Z17" s="8" t="s">
        <v>114</v>
      </c>
      <c r="AA17" s="8"/>
    </row>
    <row r="18">
      <c r="A18" s="8" t="s">
        <v>306</v>
      </c>
      <c r="B18" s="9" t="s">
        <v>307</v>
      </c>
      <c r="C18" s="8" t="s">
        <v>137</v>
      </c>
      <c r="D18" s="8" t="s">
        <v>121</v>
      </c>
      <c r="E18" s="8" t="s">
        <v>94</v>
      </c>
      <c r="F18" s="8" t="s">
        <v>308</v>
      </c>
      <c r="G18" s="11">
        <v>340.0</v>
      </c>
      <c r="H18" s="11">
        <v>238.0</v>
      </c>
      <c r="I18" s="12">
        <f t="shared" si="1"/>
        <v>0.3</v>
      </c>
      <c r="J18" s="14"/>
      <c r="K18" s="8" t="s">
        <v>85</v>
      </c>
      <c r="L18" s="14"/>
      <c r="M18" s="14"/>
      <c r="N18" s="14"/>
      <c r="O18" s="14"/>
      <c r="P18" s="14"/>
      <c r="Q18" s="14"/>
      <c r="R18" s="14"/>
      <c r="S18" s="14"/>
      <c r="T18" s="14"/>
      <c r="U18" s="8" t="s">
        <v>309</v>
      </c>
      <c r="V18" s="8" t="s">
        <v>153</v>
      </c>
      <c r="W18" s="8" t="s">
        <v>155</v>
      </c>
      <c r="X18" s="16">
        <f t="shared" si="2"/>
        <v>0.3</v>
      </c>
      <c r="Y18" s="15" t="str">
        <f t="shared" si="3"/>
        <v>no</v>
      </c>
      <c r="Z18" s="8" t="s">
        <v>114</v>
      </c>
      <c r="AA18" s="8"/>
    </row>
    <row r="19">
      <c r="A19" s="8" t="s">
        <v>311</v>
      </c>
      <c r="B19" s="9" t="s">
        <v>312</v>
      </c>
      <c r="C19" s="8" t="s">
        <v>137</v>
      </c>
      <c r="D19" s="8" t="s">
        <v>121</v>
      </c>
      <c r="E19" s="8" t="s">
        <v>94</v>
      </c>
      <c r="F19" s="8" t="s">
        <v>314</v>
      </c>
      <c r="G19" s="11">
        <v>480.0</v>
      </c>
      <c r="H19" s="11">
        <v>336.0</v>
      </c>
      <c r="I19" s="12">
        <f t="shared" si="1"/>
        <v>0.3</v>
      </c>
      <c r="J19" s="14"/>
      <c r="K19" s="8" t="s">
        <v>85</v>
      </c>
      <c r="L19" s="14"/>
      <c r="M19" s="14"/>
      <c r="N19" s="14"/>
      <c r="O19" s="14"/>
      <c r="P19" s="14"/>
      <c r="Q19" s="14"/>
      <c r="R19" s="14"/>
      <c r="S19" s="14"/>
      <c r="T19" s="14"/>
      <c r="U19" s="8" t="s">
        <v>318</v>
      </c>
      <c r="V19" s="8" t="s">
        <v>153</v>
      </c>
      <c r="W19" s="8" t="s">
        <v>155</v>
      </c>
      <c r="X19" s="16">
        <f t="shared" si="2"/>
        <v>0.3</v>
      </c>
      <c r="Y19" s="15" t="str">
        <f t="shared" si="3"/>
        <v>no</v>
      </c>
      <c r="Z19" s="8" t="s">
        <v>114</v>
      </c>
      <c r="AA19" s="8"/>
    </row>
    <row r="20">
      <c r="A20" s="8" t="s">
        <v>322</v>
      </c>
      <c r="B20" s="9" t="s">
        <v>276</v>
      </c>
      <c r="C20" s="8" t="s">
        <v>137</v>
      </c>
      <c r="D20" s="8" t="s">
        <v>189</v>
      </c>
      <c r="E20" s="8" t="s">
        <v>76</v>
      </c>
      <c r="F20" s="8" t="s">
        <v>325</v>
      </c>
      <c r="G20" s="11">
        <v>3070000.0</v>
      </c>
      <c r="H20" s="11">
        <v>2302500.0</v>
      </c>
      <c r="I20" s="12">
        <f t="shared" si="1"/>
        <v>0.25</v>
      </c>
      <c r="J20" s="14"/>
      <c r="K20" s="8" t="s">
        <v>175</v>
      </c>
      <c r="L20" s="14">
        <v>45.0</v>
      </c>
      <c r="M20" s="14">
        <v>35.0</v>
      </c>
      <c r="N20" s="14"/>
      <c r="O20" s="14"/>
      <c r="P20" s="14"/>
      <c r="Q20" s="14"/>
      <c r="R20" s="14"/>
      <c r="S20" s="14"/>
      <c r="T20" s="14"/>
      <c r="U20" s="8" t="s">
        <v>326</v>
      </c>
      <c r="V20" s="8" t="s">
        <v>155</v>
      </c>
      <c r="W20" s="8" t="s">
        <v>155</v>
      </c>
      <c r="X20" s="16">
        <f t="shared" si="2"/>
        <v>0.4</v>
      </c>
      <c r="Y20" s="15" t="str">
        <f t="shared" si="3"/>
        <v>no</v>
      </c>
      <c r="Z20" s="8" t="s">
        <v>331</v>
      </c>
      <c r="AA20" s="8" t="s">
        <v>333</v>
      </c>
    </row>
    <row r="21" ht="15.75" customHeight="1">
      <c r="A21" s="8" t="s">
        <v>334</v>
      </c>
      <c r="B21" s="9" t="s">
        <v>335</v>
      </c>
      <c r="C21" s="8" t="s">
        <v>137</v>
      </c>
      <c r="D21" s="8" t="s">
        <v>102</v>
      </c>
      <c r="E21" s="8" t="s">
        <v>94</v>
      </c>
      <c r="F21" s="8" t="s">
        <v>336</v>
      </c>
      <c r="G21" s="11">
        <v>550.0</v>
      </c>
      <c r="H21" s="11">
        <v>440.0</v>
      </c>
      <c r="I21" s="12">
        <f t="shared" si="1"/>
        <v>0.2</v>
      </c>
      <c r="J21" s="14"/>
      <c r="K21" s="8" t="s">
        <v>85</v>
      </c>
      <c r="L21" s="14"/>
      <c r="M21" s="14"/>
      <c r="N21" s="14"/>
      <c r="O21" s="14"/>
      <c r="P21" s="14"/>
      <c r="Q21" s="14"/>
      <c r="R21" s="14"/>
      <c r="S21" s="14"/>
      <c r="T21" s="14"/>
      <c r="U21" s="8" t="s">
        <v>339</v>
      </c>
      <c r="V21" s="8" t="s">
        <v>155</v>
      </c>
      <c r="W21" s="8" t="s">
        <v>155</v>
      </c>
      <c r="X21" s="16">
        <f t="shared" si="2"/>
        <v>0.3</v>
      </c>
      <c r="Y21" s="15" t="str">
        <f t="shared" si="3"/>
        <v>no</v>
      </c>
      <c r="Z21" s="8" t="s">
        <v>114</v>
      </c>
      <c r="AA21" s="8"/>
    </row>
    <row r="22" ht="15.75" customHeight="1">
      <c r="A22" s="8" t="s">
        <v>340</v>
      </c>
      <c r="B22" s="9" t="s">
        <v>341</v>
      </c>
      <c r="C22" s="8" t="s">
        <v>342</v>
      </c>
      <c r="D22" s="8" t="s">
        <v>70</v>
      </c>
      <c r="E22" s="8" t="s">
        <v>76</v>
      </c>
      <c r="F22" s="8" t="s">
        <v>343</v>
      </c>
      <c r="G22" s="11">
        <v>830000.0</v>
      </c>
      <c r="H22" s="11">
        <v>581000.0</v>
      </c>
      <c r="I22" s="12">
        <f t="shared" si="1"/>
        <v>0.3</v>
      </c>
      <c r="J22" s="14"/>
      <c r="K22" s="8" t="s">
        <v>85</v>
      </c>
      <c r="L22" s="14"/>
      <c r="M22" s="14"/>
      <c r="N22" s="14"/>
      <c r="O22" s="14"/>
      <c r="P22" s="14"/>
      <c r="Q22" s="14"/>
      <c r="R22" s="14"/>
      <c r="S22" s="14"/>
      <c r="T22" s="14"/>
      <c r="U22" s="8" t="s">
        <v>344</v>
      </c>
      <c r="V22" s="8" t="s">
        <v>345</v>
      </c>
      <c r="W22" s="8" t="s">
        <v>93</v>
      </c>
      <c r="X22" s="16">
        <f t="shared" si="2"/>
        <v>0.3</v>
      </c>
      <c r="Y22" s="15" t="str">
        <f t="shared" si="3"/>
        <v>no</v>
      </c>
      <c r="Z22" s="8" t="s">
        <v>114</v>
      </c>
      <c r="AA22" s="8"/>
    </row>
    <row r="23" ht="15.75" customHeight="1">
      <c r="A23" s="8" t="s">
        <v>346</v>
      </c>
      <c r="B23" s="9" t="s">
        <v>347</v>
      </c>
      <c r="C23" s="8" t="s">
        <v>342</v>
      </c>
      <c r="D23" s="8" t="s">
        <v>70</v>
      </c>
      <c r="E23" s="8" t="s">
        <v>76</v>
      </c>
      <c r="F23" s="8" t="s">
        <v>348</v>
      </c>
      <c r="G23" s="11">
        <v>310000.0</v>
      </c>
      <c r="H23" s="11">
        <v>217000.0</v>
      </c>
      <c r="I23" s="12">
        <f t="shared" si="1"/>
        <v>0.3</v>
      </c>
      <c r="J23" s="14"/>
      <c r="K23" s="8"/>
      <c r="L23" s="14"/>
      <c r="M23" s="14"/>
      <c r="N23" s="14"/>
      <c r="O23" s="14"/>
      <c r="P23" s="14"/>
      <c r="Q23" s="14"/>
      <c r="R23" s="14"/>
      <c r="S23" s="14"/>
      <c r="T23" s="14"/>
      <c r="U23" s="8" t="s">
        <v>349</v>
      </c>
      <c r="V23" s="8"/>
      <c r="W23" s="8" t="s">
        <v>130</v>
      </c>
      <c r="X23" s="16">
        <f t="shared" si="2"/>
        <v>0.3</v>
      </c>
      <c r="Y23" s="15" t="str">
        <f t="shared" si="3"/>
        <v>no</v>
      </c>
      <c r="Z23" s="8" t="s">
        <v>114</v>
      </c>
      <c r="AA23" s="8"/>
    </row>
    <row r="24" ht="15.75" customHeight="1">
      <c r="A24" s="8" t="s">
        <v>350</v>
      </c>
      <c r="B24" s="9" t="s">
        <v>351</v>
      </c>
      <c r="C24" s="8" t="s">
        <v>342</v>
      </c>
      <c r="D24" s="8" t="s">
        <v>70</v>
      </c>
      <c r="E24" s="8" t="s">
        <v>76</v>
      </c>
      <c r="F24" s="8" t="s">
        <v>352</v>
      </c>
      <c r="G24" s="11">
        <v>450000.0</v>
      </c>
      <c r="H24" s="11">
        <v>315000.0</v>
      </c>
      <c r="I24" s="12">
        <f t="shared" si="1"/>
        <v>0.3</v>
      </c>
      <c r="J24" s="14"/>
      <c r="K24" s="8"/>
      <c r="L24" s="14"/>
      <c r="M24" s="14"/>
      <c r="N24" s="14"/>
      <c r="O24" s="14"/>
      <c r="P24" s="14"/>
      <c r="Q24" s="14"/>
      <c r="R24" s="14"/>
      <c r="S24" s="14"/>
      <c r="T24" s="14"/>
      <c r="U24" s="8" t="s">
        <v>353</v>
      </c>
      <c r="V24" s="8"/>
      <c r="W24" s="8" t="s">
        <v>130</v>
      </c>
      <c r="X24" s="16">
        <f t="shared" si="2"/>
        <v>0.3</v>
      </c>
      <c r="Y24" s="15" t="str">
        <f t="shared" si="3"/>
        <v>no</v>
      </c>
      <c r="Z24" s="8" t="s">
        <v>114</v>
      </c>
      <c r="AA24" s="8"/>
    </row>
    <row r="25" ht="15.75" customHeight="1">
      <c r="A25" s="8" t="s">
        <v>356</v>
      </c>
      <c r="B25" s="9" t="s">
        <v>357</v>
      </c>
      <c r="C25" s="8" t="s">
        <v>342</v>
      </c>
      <c r="D25" s="8" t="s">
        <v>70</v>
      </c>
      <c r="E25" s="8" t="s">
        <v>76</v>
      </c>
      <c r="F25" s="8" t="s">
        <v>358</v>
      </c>
      <c r="G25" s="11">
        <v>396000.0</v>
      </c>
      <c r="H25" s="11">
        <v>316800.0</v>
      </c>
      <c r="I25" s="12">
        <f t="shared" si="1"/>
        <v>0.2</v>
      </c>
      <c r="J25" s="14">
        <v>27.0</v>
      </c>
      <c r="K25" s="8" t="s">
        <v>126</v>
      </c>
      <c r="L25" s="14">
        <v>10.0</v>
      </c>
      <c r="M25" s="14">
        <v>5.0</v>
      </c>
      <c r="N25" s="14">
        <v>4.0</v>
      </c>
      <c r="O25" s="14"/>
      <c r="P25" s="14"/>
      <c r="Q25" s="14"/>
      <c r="R25" s="14"/>
      <c r="S25" s="14"/>
      <c r="T25" s="14"/>
      <c r="U25" s="8" t="s">
        <v>361</v>
      </c>
      <c r="V25" s="8"/>
      <c r="W25" s="8" t="s">
        <v>130</v>
      </c>
      <c r="X25" s="16">
        <f t="shared" si="2"/>
        <v>0.5</v>
      </c>
      <c r="Y25" s="15" t="str">
        <f t="shared" si="3"/>
        <v>no</v>
      </c>
      <c r="Z25" s="8" t="s">
        <v>114</v>
      </c>
      <c r="AA25" s="8" t="s">
        <v>365</v>
      </c>
    </row>
    <row r="26" ht="15.75" customHeight="1">
      <c r="A26" s="8" t="s">
        <v>366</v>
      </c>
      <c r="B26" s="9" t="s">
        <v>367</v>
      </c>
      <c r="C26" s="8" t="s">
        <v>342</v>
      </c>
      <c r="D26" s="8" t="s">
        <v>70</v>
      </c>
      <c r="E26" s="8" t="s">
        <v>76</v>
      </c>
      <c r="F26" s="8" t="s">
        <v>368</v>
      </c>
      <c r="G26" s="11">
        <v>733000.0</v>
      </c>
      <c r="H26" s="11">
        <v>586400.0</v>
      </c>
      <c r="I26" s="12">
        <f t="shared" si="1"/>
        <v>0.2</v>
      </c>
      <c r="J26" s="14"/>
      <c r="K26" s="8" t="s">
        <v>85</v>
      </c>
      <c r="L26" s="14">
        <v>20.0</v>
      </c>
      <c r="M26" s="14">
        <v>12.0</v>
      </c>
      <c r="N26" s="14">
        <v>8.0</v>
      </c>
      <c r="O26" s="14"/>
      <c r="P26" s="14"/>
      <c r="Q26" s="14"/>
      <c r="R26" s="14"/>
      <c r="S26" s="14"/>
      <c r="T26" s="14"/>
      <c r="U26" s="8" t="s">
        <v>372</v>
      </c>
      <c r="V26" s="8" t="s">
        <v>155</v>
      </c>
      <c r="W26" s="8" t="s">
        <v>155</v>
      </c>
      <c r="X26" s="16">
        <f t="shared" si="2"/>
        <v>0.4</v>
      </c>
      <c r="Y26" s="15" t="str">
        <f t="shared" si="3"/>
        <v>no</v>
      </c>
      <c r="Z26" s="8" t="s">
        <v>114</v>
      </c>
      <c r="AA26" s="8"/>
    </row>
    <row r="27" ht="15.75" customHeight="1">
      <c r="A27" s="8" t="s">
        <v>375</v>
      </c>
      <c r="B27" s="9" t="s">
        <v>376</v>
      </c>
      <c r="C27" s="8" t="s">
        <v>342</v>
      </c>
      <c r="D27" s="8" t="s">
        <v>102</v>
      </c>
      <c r="E27" s="8" t="s">
        <v>94</v>
      </c>
      <c r="F27" s="8" t="s">
        <v>379</v>
      </c>
      <c r="G27" s="11">
        <v>350.0</v>
      </c>
      <c r="H27" s="11">
        <v>280.0</v>
      </c>
      <c r="I27" s="12">
        <f t="shared" si="1"/>
        <v>0.2</v>
      </c>
      <c r="J27" s="14"/>
      <c r="K27" s="8" t="s">
        <v>85</v>
      </c>
      <c r="L27" s="14"/>
      <c r="M27" s="14"/>
      <c r="N27" s="14"/>
      <c r="O27" s="14"/>
      <c r="P27" s="14"/>
      <c r="Q27" s="14"/>
      <c r="R27" s="14"/>
      <c r="S27" s="14"/>
      <c r="T27" s="14"/>
      <c r="U27" s="8" t="s">
        <v>389</v>
      </c>
      <c r="V27" s="8" t="s">
        <v>155</v>
      </c>
      <c r="W27" s="8" t="s">
        <v>155</v>
      </c>
      <c r="X27" s="16">
        <f t="shared" si="2"/>
        <v>0.3</v>
      </c>
      <c r="Y27" s="15" t="str">
        <f t="shared" si="3"/>
        <v>no</v>
      </c>
      <c r="Z27" s="8" t="s">
        <v>114</v>
      </c>
      <c r="AA27" s="8"/>
    </row>
    <row r="28" ht="15.75" customHeight="1">
      <c r="A28" s="8" t="s">
        <v>399</v>
      </c>
      <c r="B28" s="9" t="s">
        <v>400</v>
      </c>
      <c r="C28" s="8" t="s">
        <v>342</v>
      </c>
      <c r="D28" s="8" t="s">
        <v>99</v>
      </c>
      <c r="E28" s="8" t="s">
        <v>76</v>
      </c>
      <c r="F28" s="8" t="s">
        <v>401</v>
      </c>
      <c r="G28" s="11">
        <v>321082.0</v>
      </c>
      <c r="H28" s="11">
        <v>108753.0</v>
      </c>
      <c r="I28" s="12">
        <f t="shared" si="1"/>
        <v>0.661292131</v>
      </c>
      <c r="J28" s="14">
        <v>4.0</v>
      </c>
      <c r="K28" s="8" t="s">
        <v>402</v>
      </c>
      <c r="L28" s="14">
        <v>34.0</v>
      </c>
      <c r="M28" s="14">
        <v>31.0</v>
      </c>
      <c r="N28" s="14"/>
      <c r="O28" s="14"/>
      <c r="P28" s="14"/>
      <c r="Q28" s="14"/>
      <c r="R28" s="14"/>
      <c r="S28" s="14"/>
      <c r="T28" s="14"/>
      <c r="U28" s="8" t="s">
        <v>403</v>
      </c>
      <c r="V28" s="8" t="s">
        <v>404</v>
      </c>
      <c r="W28" s="8" t="s">
        <v>155</v>
      </c>
      <c r="X28" s="16">
        <f t="shared" si="2"/>
        <v>0.5</v>
      </c>
      <c r="Y28" s="15" t="str">
        <f t="shared" si="3"/>
        <v>no</v>
      </c>
      <c r="Z28" s="8" t="s">
        <v>114</v>
      </c>
      <c r="AA28" s="8"/>
    </row>
    <row r="29" ht="15.75" customHeight="1">
      <c r="A29" s="8" t="s">
        <v>123</v>
      </c>
      <c r="B29" s="9" t="s">
        <v>124</v>
      </c>
      <c r="C29" s="8"/>
      <c r="D29" s="8" t="s">
        <v>125</v>
      </c>
      <c r="E29" s="8" t="s">
        <v>94</v>
      </c>
      <c r="F29" s="8" t="s">
        <v>405</v>
      </c>
      <c r="G29" s="11">
        <v>968968.0</v>
      </c>
      <c r="H29" s="11">
        <v>616000.0</v>
      </c>
      <c r="I29" s="12">
        <f t="shared" si="1"/>
        <v>0.3642720915</v>
      </c>
      <c r="J29" s="14"/>
      <c r="K29" s="8" t="s">
        <v>85</v>
      </c>
      <c r="L29" s="14"/>
      <c r="M29" s="14"/>
      <c r="N29" s="14"/>
      <c r="O29" s="14"/>
      <c r="P29" s="14"/>
      <c r="Q29" s="14"/>
      <c r="R29" s="14"/>
      <c r="S29" s="14"/>
      <c r="T29" s="14"/>
      <c r="U29" s="8" t="s">
        <v>406</v>
      </c>
      <c r="V29" s="8" t="s">
        <v>153</v>
      </c>
      <c r="W29" s="8" t="s">
        <v>155</v>
      </c>
      <c r="X29" s="16">
        <f t="shared" si="2"/>
        <v>0.2</v>
      </c>
      <c r="Y29" s="15" t="str">
        <f t="shared" si="3"/>
        <v>no</v>
      </c>
      <c r="Z29" s="8" t="s">
        <v>114</v>
      </c>
      <c r="AA29" s="8"/>
    </row>
    <row r="30" ht="15.75" customHeight="1">
      <c r="A30" s="8" t="s">
        <v>135</v>
      </c>
      <c r="B30" s="9" t="s">
        <v>136</v>
      </c>
      <c r="C30" s="8"/>
      <c r="D30" s="8" t="s">
        <v>83</v>
      </c>
      <c r="E30" s="8" t="s">
        <v>76</v>
      </c>
      <c r="F30" s="8" t="s">
        <v>407</v>
      </c>
      <c r="G30" s="11">
        <v>1328580.0</v>
      </c>
      <c r="H30" s="11">
        <v>450000.0</v>
      </c>
      <c r="I30" s="12">
        <f t="shared" si="1"/>
        <v>0.6612925078</v>
      </c>
      <c r="J30" s="14">
        <v>2.0</v>
      </c>
      <c r="K30" s="8" t="s">
        <v>175</v>
      </c>
      <c r="L30" s="14"/>
      <c r="M30" s="14"/>
      <c r="N30" s="14"/>
      <c r="O30" s="14"/>
      <c r="P30" s="14"/>
      <c r="Q30" s="14"/>
      <c r="R30" s="14"/>
      <c r="S30" s="14"/>
      <c r="T30" s="14"/>
      <c r="U30" s="8" t="s">
        <v>408</v>
      </c>
      <c r="V30" s="8" t="s">
        <v>409</v>
      </c>
      <c r="W30" s="8" t="s">
        <v>253</v>
      </c>
      <c r="X30" s="16">
        <f t="shared" si="2"/>
        <v>0.3</v>
      </c>
      <c r="Y30" s="15" t="str">
        <f t="shared" si="3"/>
        <v>no</v>
      </c>
      <c r="Z30" s="8" t="s">
        <v>114</v>
      </c>
      <c r="AA30" s="8"/>
    </row>
    <row r="31" ht="15.75" customHeight="1">
      <c r="A31" s="8" t="s">
        <v>139</v>
      </c>
      <c r="B31" s="9" t="s">
        <v>141</v>
      </c>
      <c r="C31" s="8"/>
      <c r="D31" s="8" t="s">
        <v>95</v>
      </c>
      <c r="E31" s="8" t="s">
        <v>76</v>
      </c>
      <c r="F31" s="8" t="s">
        <v>410</v>
      </c>
      <c r="G31" s="11">
        <v>2983105.0</v>
      </c>
      <c r="H31" s="11">
        <v>1010400.0</v>
      </c>
      <c r="I31" s="12">
        <f t="shared" si="1"/>
        <v>0.6612925123</v>
      </c>
      <c r="J31" s="14">
        <v>1.0</v>
      </c>
      <c r="K31" s="8" t="s">
        <v>85</v>
      </c>
      <c r="L31" s="14"/>
      <c r="M31" s="14"/>
      <c r="N31" s="14"/>
      <c r="O31" s="14"/>
      <c r="P31" s="14"/>
      <c r="Q31" s="14"/>
      <c r="R31" s="14"/>
      <c r="S31" s="14"/>
      <c r="T31" s="14"/>
      <c r="U31" s="8" t="s">
        <v>411</v>
      </c>
      <c r="V31" s="8" t="s">
        <v>153</v>
      </c>
      <c r="W31" s="8" t="s">
        <v>155</v>
      </c>
      <c r="X31" s="16">
        <f t="shared" si="2"/>
        <v>0.3</v>
      </c>
      <c r="Y31" s="15" t="str">
        <f t="shared" si="3"/>
        <v>no</v>
      </c>
      <c r="Z31" s="8" t="s">
        <v>114</v>
      </c>
      <c r="AA31" s="8"/>
    </row>
    <row r="32" ht="15.75" customHeight="1">
      <c r="A32" s="8" t="s">
        <v>146</v>
      </c>
      <c r="B32" s="9" t="s">
        <v>147</v>
      </c>
      <c r="C32" s="8"/>
      <c r="D32" s="8" t="s">
        <v>90</v>
      </c>
      <c r="E32" s="8" t="s">
        <v>94</v>
      </c>
      <c r="F32" s="8" t="s">
        <v>412</v>
      </c>
      <c r="G32" s="11">
        <v>650.0</v>
      </c>
      <c r="H32" s="11">
        <v>552.0</v>
      </c>
      <c r="I32" s="12">
        <f t="shared" si="1"/>
        <v>0.1507692308</v>
      </c>
      <c r="J32" s="14"/>
      <c r="K32" s="8" t="s">
        <v>85</v>
      </c>
      <c r="L32" s="14"/>
      <c r="M32" s="14"/>
      <c r="N32" s="14"/>
      <c r="O32" s="14"/>
      <c r="P32" s="14"/>
      <c r="Q32" s="14"/>
      <c r="R32" s="14"/>
      <c r="S32" s="14"/>
      <c r="T32" s="14"/>
      <c r="U32" s="8" t="s">
        <v>413</v>
      </c>
      <c r="V32" s="8" t="s">
        <v>414</v>
      </c>
      <c r="W32" s="8" t="s">
        <v>415</v>
      </c>
      <c r="X32" s="16">
        <f t="shared" si="2"/>
        <v>0.2</v>
      </c>
      <c r="Y32" s="15" t="str">
        <f t="shared" si="3"/>
        <v>no</v>
      </c>
      <c r="Z32" s="8" t="s">
        <v>114</v>
      </c>
      <c r="AA32" s="8"/>
    </row>
    <row r="33" ht="15.75" customHeight="1">
      <c r="A33" s="8" t="s">
        <v>148</v>
      </c>
      <c r="B33" s="9" t="s">
        <v>149</v>
      </c>
      <c r="C33" s="8"/>
      <c r="D33" s="8" t="s">
        <v>95</v>
      </c>
      <c r="E33" s="8" t="s">
        <v>76</v>
      </c>
      <c r="F33" s="8" t="s">
        <v>416</v>
      </c>
      <c r="G33" s="11">
        <v>206668.0</v>
      </c>
      <c r="H33" s="11">
        <v>70000.0</v>
      </c>
      <c r="I33" s="12">
        <f t="shared" si="1"/>
        <v>0.6612925078</v>
      </c>
      <c r="J33" s="14"/>
      <c r="K33" s="8" t="s">
        <v>417</v>
      </c>
      <c r="L33" s="14"/>
      <c r="M33" s="14"/>
      <c r="N33" s="14"/>
      <c r="O33" s="14"/>
      <c r="P33" s="14"/>
      <c r="Q33" s="14"/>
      <c r="R33" s="14"/>
      <c r="S33" s="14"/>
      <c r="T33" s="14"/>
      <c r="U33" s="8" t="s">
        <v>418</v>
      </c>
      <c r="V33" s="8" t="s">
        <v>153</v>
      </c>
      <c r="W33" s="8" t="s">
        <v>155</v>
      </c>
      <c r="X33" s="16">
        <f t="shared" si="2"/>
        <v>0.2</v>
      </c>
      <c r="Y33" s="15" t="str">
        <f t="shared" si="3"/>
        <v>no</v>
      </c>
      <c r="Z33" s="8" t="s">
        <v>114</v>
      </c>
      <c r="AA33" s="8"/>
    </row>
    <row r="34" ht="15.75" customHeight="1">
      <c r="A34" s="8" t="s">
        <v>152</v>
      </c>
      <c r="B34" s="9" t="s">
        <v>154</v>
      </c>
      <c r="C34" s="8"/>
      <c r="D34" s="8" t="s">
        <v>131</v>
      </c>
      <c r="E34" s="8" t="s">
        <v>76</v>
      </c>
      <c r="F34" s="8" t="s">
        <v>419</v>
      </c>
      <c r="G34" s="11">
        <v>347000.0</v>
      </c>
      <c r="H34" s="11">
        <v>242900.0</v>
      </c>
      <c r="I34" s="12">
        <f t="shared" si="1"/>
        <v>0.3</v>
      </c>
      <c r="J34" s="14">
        <v>2.0</v>
      </c>
      <c r="K34" s="8" t="s">
        <v>175</v>
      </c>
      <c r="L34" s="14"/>
      <c r="M34" s="14"/>
      <c r="N34" s="14"/>
      <c r="O34" s="14"/>
      <c r="P34" s="14"/>
      <c r="Q34" s="14"/>
      <c r="R34" s="14"/>
      <c r="S34" s="14"/>
      <c r="T34" s="14"/>
      <c r="U34" s="8" t="s">
        <v>420</v>
      </c>
      <c r="V34" s="8" t="s">
        <v>153</v>
      </c>
      <c r="W34" s="8" t="s">
        <v>155</v>
      </c>
      <c r="X34" s="16">
        <f t="shared" si="2"/>
        <v>0.3</v>
      </c>
      <c r="Y34" s="15" t="str">
        <f t="shared" si="3"/>
        <v>no</v>
      </c>
      <c r="Z34" s="8" t="s">
        <v>114</v>
      </c>
      <c r="AA34" s="8"/>
    </row>
    <row r="35" ht="15.75" customHeight="1">
      <c r="A35" s="8" t="s">
        <v>157</v>
      </c>
      <c r="B35" s="9" t="s">
        <v>158</v>
      </c>
      <c r="C35" s="8"/>
      <c r="D35" s="8" t="s">
        <v>131</v>
      </c>
      <c r="E35" s="8" t="s">
        <v>76</v>
      </c>
      <c r="F35" s="8" t="s">
        <v>421</v>
      </c>
      <c r="G35" s="11">
        <v>629200.0</v>
      </c>
      <c r="H35" s="11">
        <v>400000.0</v>
      </c>
      <c r="I35" s="12">
        <f t="shared" si="1"/>
        <v>0.3642720915</v>
      </c>
      <c r="J35" s="14">
        <v>1.0</v>
      </c>
      <c r="K35" s="8" t="s">
        <v>85</v>
      </c>
      <c r="L35" s="14"/>
      <c r="M35" s="14"/>
      <c r="N35" s="14"/>
      <c r="O35" s="14"/>
      <c r="P35" s="14"/>
      <c r="Q35" s="14"/>
      <c r="R35" s="14"/>
      <c r="S35" s="14"/>
      <c r="T35" s="14"/>
      <c r="U35" s="8" t="s">
        <v>422</v>
      </c>
      <c r="V35" s="8"/>
      <c r="W35" s="8" t="s">
        <v>130</v>
      </c>
      <c r="X35" s="16">
        <f t="shared" si="2"/>
        <v>0.3</v>
      </c>
      <c r="Y35" s="15" t="str">
        <f t="shared" si="3"/>
        <v>no</v>
      </c>
      <c r="Z35" s="8" t="s">
        <v>114</v>
      </c>
      <c r="AA35" s="8"/>
    </row>
    <row r="36" ht="15.75" customHeight="1">
      <c r="A36" s="8" t="s">
        <v>160</v>
      </c>
      <c r="B36" s="9" t="s">
        <v>161</v>
      </c>
      <c r="C36" s="8"/>
      <c r="D36" s="8" t="s">
        <v>111</v>
      </c>
      <c r="E36" s="8" t="s">
        <v>76</v>
      </c>
      <c r="F36" s="8" t="s">
        <v>423</v>
      </c>
      <c r="G36" s="11">
        <v>845000.0</v>
      </c>
      <c r="H36" s="11">
        <v>650000.0</v>
      </c>
      <c r="I36" s="12">
        <f t="shared" si="1"/>
        <v>0.2307692308</v>
      </c>
      <c r="J36" s="14"/>
      <c r="K36" s="8" t="s">
        <v>85</v>
      </c>
      <c r="L36" s="14">
        <v>18.0</v>
      </c>
      <c r="M36" s="14">
        <v>78.0</v>
      </c>
      <c r="N36" s="14"/>
      <c r="O36" s="14"/>
      <c r="P36" s="14"/>
      <c r="Q36" s="14"/>
      <c r="R36" s="14"/>
      <c r="S36" s="14"/>
      <c r="T36" s="14"/>
      <c r="U36" s="8" t="s">
        <v>424</v>
      </c>
      <c r="V36" s="8" t="s">
        <v>155</v>
      </c>
      <c r="W36" s="8" t="s">
        <v>155</v>
      </c>
      <c r="X36" s="16">
        <f t="shared" si="2"/>
        <v>0.3</v>
      </c>
      <c r="Y36" s="15" t="str">
        <f t="shared" si="3"/>
        <v>no</v>
      </c>
      <c r="Z36" s="8" t="s">
        <v>114</v>
      </c>
      <c r="AA36" s="8"/>
    </row>
    <row r="37" ht="15.75" customHeight="1">
      <c r="A37" s="8" t="s">
        <v>163</v>
      </c>
      <c r="B37" s="9" t="s">
        <v>165</v>
      </c>
      <c r="C37" s="8"/>
      <c r="D37" s="8" t="s">
        <v>111</v>
      </c>
      <c r="E37" s="8" t="s">
        <v>76</v>
      </c>
      <c r="F37" s="8" t="s">
        <v>425</v>
      </c>
      <c r="G37" s="11">
        <v>715000.0</v>
      </c>
      <c r="H37" s="11">
        <v>550000.0</v>
      </c>
      <c r="I37" s="12">
        <f t="shared" si="1"/>
        <v>0.2307692308</v>
      </c>
      <c r="J37" s="14">
        <v>1.0</v>
      </c>
      <c r="K37" s="8" t="s">
        <v>85</v>
      </c>
      <c r="L37" s="14">
        <v>18.0</v>
      </c>
      <c r="M37" s="14">
        <v>58.0</v>
      </c>
      <c r="N37" s="14"/>
      <c r="O37" s="14"/>
      <c r="P37" s="14"/>
      <c r="Q37" s="14"/>
      <c r="R37" s="14"/>
      <c r="S37" s="14"/>
      <c r="T37" s="14"/>
      <c r="U37" s="8" t="s">
        <v>426</v>
      </c>
      <c r="V37" s="8" t="s">
        <v>155</v>
      </c>
      <c r="W37" s="8" t="s">
        <v>155</v>
      </c>
      <c r="X37" s="16">
        <f t="shared" si="2"/>
        <v>0.4</v>
      </c>
      <c r="Y37" s="15" t="str">
        <f t="shared" si="3"/>
        <v>no</v>
      </c>
      <c r="Z37" s="8" t="s">
        <v>114</v>
      </c>
      <c r="AA37" s="8"/>
    </row>
    <row r="38" ht="15.75" customHeight="1">
      <c r="A38" s="8" t="s">
        <v>168</v>
      </c>
      <c r="B38" s="9" t="s">
        <v>169</v>
      </c>
      <c r="C38" s="8"/>
      <c r="D38" s="8" t="s">
        <v>98</v>
      </c>
      <c r="E38" s="8" t="s">
        <v>76</v>
      </c>
      <c r="F38" s="8" t="s">
        <v>427</v>
      </c>
      <c r="G38" s="11">
        <v>112.0</v>
      </c>
      <c r="H38" s="11">
        <v>58330.0</v>
      </c>
      <c r="I38" s="12">
        <f t="shared" si="1"/>
        <v>-519.8035714</v>
      </c>
      <c r="J38" s="14"/>
      <c r="K38" s="8"/>
      <c r="L38" s="14">
        <v>45.0</v>
      </c>
      <c r="M38" s="14">
        <v>30.0</v>
      </c>
      <c r="N38" s="14"/>
      <c r="O38" s="14"/>
      <c r="P38" s="14"/>
      <c r="Q38" s="14"/>
      <c r="R38" s="14"/>
      <c r="S38" s="14"/>
      <c r="T38" s="14"/>
      <c r="U38" s="8" t="s">
        <v>428</v>
      </c>
      <c r="V38" s="8"/>
      <c r="W38" s="8" t="s">
        <v>130</v>
      </c>
      <c r="X38" s="16">
        <f t="shared" si="2"/>
        <v>0.3</v>
      </c>
      <c r="Y38" s="15" t="str">
        <f t="shared" si="3"/>
        <v>no</v>
      </c>
      <c r="Z38" s="8" t="s">
        <v>114</v>
      </c>
      <c r="AA38" s="8"/>
    </row>
    <row r="39" ht="15.75" customHeight="1">
      <c r="A39" s="8" t="s">
        <v>172</v>
      </c>
      <c r="B39" s="9" t="s">
        <v>174</v>
      </c>
      <c r="C39" s="8"/>
      <c r="D39" s="8" t="s">
        <v>98</v>
      </c>
      <c r="E39" s="8" t="s">
        <v>76</v>
      </c>
      <c r="F39" s="8" t="s">
        <v>429</v>
      </c>
      <c r="G39" s="11">
        <v>139.0</v>
      </c>
      <c r="H39" s="11">
        <v>72145.0</v>
      </c>
      <c r="I39" s="12">
        <f t="shared" si="1"/>
        <v>-518.028777</v>
      </c>
      <c r="J39" s="14"/>
      <c r="K39" s="8"/>
      <c r="L39" s="14">
        <v>50.0</v>
      </c>
      <c r="M39" s="14">
        <v>50.0</v>
      </c>
      <c r="N39" s="14"/>
      <c r="O39" s="14"/>
      <c r="P39" s="14"/>
      <c r="Q39" s="14"/>
      <c r="R39" s="14"/>
      <c r="S39" s="14"/>
      <c r="T39" s="14"/>
      <c r="U39" s="8" t="s">
        <v>430</v>
      </c>
      <c r="V39" s="8"/>
      <c r="W39" s="8" t="s">
        <v>130</v>
      </c>
      <c r="X39" s="16">
        <f t="shared" si="2"/>
        <v>0.3</v>
      </c>
      <c r="Y39" s="15" t="str">
        <f t="shared" si="3"/>
        <v>no</v>
      </c>
      <c r="Z39" s="8" t="s">
        <v>114</v>
      </c>
      <c r="AA39" s="8"/>
    </row>
    <row r="40" ht="15.75" customHeight="1">
      <c r="A40" s="8" t="s">
        <v>177</v>
      </c>
      <c r="B40" s="9" t="s">
        <v>180</v>
      </c>
      <c r="C40" s="8"/>
      <c r="D40" s="8" t="s">
        <v>98</v>
      </c>
      <c r="E40" s="8" t="s">
        <v>76</v>
      </c>
      <c r="F40" s="8" t="s">
        <v>431</v>
      </c>
      <c r="G40" s="11">
        <v>112.0</v>
      </c>
      <c r="H40" s="11">
        <v>58330.0</v>
      </c>
      <c r="I40" s="12">
        <f t="shared" si="1"/>
        <v>-519.8035714</v>
      </c>
      <c r="J40" s="14"/>
      <c r="K40" s="8"/>
      <c r="L40" s="14">
        <v>45.0</v>
      </c>
      <c r="M40" s="14">
        <v>30.0</v>
      </c>
      <c r="N40" s="14"/>
      <c r="O40" s="14"/>
      <c r="P40" s="14"/>
      <c r="Q40" s="14"/>
      <c r="R40" s="14"/>
      <c r="S40" s="14"/>
      <c r="T40" s="14"/>
      <c r="U40" s="8" t="s">
        <v>432</v>
      </c>
      <c r="V40" s="8"/>
      <c r="W40" s="8" t="s">
        <v>130</v>
      </c>
      <c r="X40" s="16">
        <f t="shared" si="2"/>
        <v>0.3</v>
      </c>
      <c r="Y40" s="15" t="str">
        <f t="shared" si="3"/>
        <v>no</v>
      </c>
      <c r="Z40" s="8" t="s">
        <v>114</v>
      </c>
      <c r="AA40" s="8"/>
    </row>
    <row r="41" ht="15.75" customHeight="1">
      <c r="A41" s="8" t="s">
        <v>181</v>
      </c>
      <c r="B41" s="9" t="s">
        <v>182</v>
      </c>
      <c r="C41" s="8"/>
      <c r="D41" s="8" t="s">
        <v>98</v>
      </c>
      <c r="E41" s="8" t="s">
        <v>76</v>
      </c>
      <c r="F41" s="8" t="s">
        <v>433</v>
      </c>
      <c r="G41" s="11">
        <v>112.0</v>
      </c>
      <c r="H41" s="11">
        <v>58330.0</v>
      </c>
      <c r="I41" s="12">
        <f t="shared" si="1"/>
        <v>-519.8035714</v>
      </c>
      <c r="J41" s="14"/>
      <c r="K41" s="8"/>
      <c r="L41" s="14">
        <v>45.0</v>
      </c>
      <c r="M41" s="14">
        <v>30.0</v>
      </c>
      <c r="N41" s="14"/>
      <c r="O41" s="14"/>
      <c r="P41" s="14"/>
      <c r="Q41" s="14"/>
      <c r="R41" s="14"/>
      <c r="S41" s="14"/>
      <c r="T41" s="14"/>
      <c r="U41" s="8" t="s">
        <v>434</v>
      </c>
      <c r="V41" s="8"/>
      <c r="W41" s="8" t="s">
        <v>130</v>
      </c>
      <c r="X41" s="16">
        <f t="shared" si="2"/>
        <v>0.3</v>
      </c>
      <c r="Y41" s="15" t="str">
        <f t="shared" si="3"/>
        <v>no</v>
      </c>
      <c r="Z41" s="8" t="s">
        <v>114</v>
      </c>
      <c r="AA41" s="8"/>
    </row>
    <row r="42" ht="15.75" customHeight="1">
      <c r="A42" s="8" t="s">
        <v>186</v>
      </c>
      <c r="B42" s="9" t="s">
        <v>187</v>
      </c>
      <c r="C42" s="8"/>
      <c r="D42" s="8" t="s">
        <v>132</v>
      </c>
      <c r="E42" s="8" t="s">
        <v>94</v>
      </c>
      <c r="F42" s="8" t="s">
        <v>435</v>
      </c>
      <c r="G42" s="11">
        <v>900.0</v>
      </c>
      <c r="H42" s="11">
        <v>630.0</v>
      </c>
      <c r="I42" s="12">
        <f t="shared" si="1"/>
        <v>0.3</v>
      </c>
      <c r="J42" s="14">
        <v>5.0</v>
      </c>
      <c r="K42" s="8" t="s">
        <v>436</v>
      </c>
      <c r="L42" s="14">
        <v>30.0</v>
      </c>
      <c r="M42" s="14">
        <v>35.0</v>
      </c>
      <c r="N42" s="14"/>
      <c r="O42" s="14"/>
      <c r="P42" s="14"/>
      <c r="Q42" s="14"/>
      <c r="R42" s="14"/>
      <c r="S42" s="14"/>
      <c r="T42" s="14"/>
      <c r="U42" s="8" t="s">
        <v>437</v>
      </c>
      <c r="V42" s="8" t="s">
        <v>153</v>
      </c>
      <c r="W42" s="8" t="s">
        <v>155</v>
      </c>
      <c r="X42" s="16">
        <f t="shared" si="2"/>
        <v>0.4</v>
      </c>
      <c r="Y42" s="15" t="str">
        <f t="shared" si="3"/>
        <v>no</v>
      </c>
      <c r="Z42" s="8" t="s">
        <v>114</v>
      </c>
      <c r="AA42" s="8"/>
    </row>
    <row r="43" ht="15.75" customHeight="1">
      <c r="A43" s="8" t="s">
        <v>190</v>
      </c>
      <c r="B43" s="9" t="s">
        <v>191</v>
      </c>
      <c r="C43" s="8"/>
      <c r="D43" s="8" t="s">
        <v>95</v>
      </c>
      <c r="E43" s="8" t="s">
        <v>76</v>
      </c>
      <c r="F43" s="8" t="s">
        <v>438</v>
      </c>
      <c r="G43" s="11">
        <v>54900.0</v>
      </c>
      <c r="H43" s="11">
        <v>31500.0</v>
      </c>
      <c r="I43" s="12">
        <f t="shared" si="1"/>
        <v>0.4262295082</v>
      </c>
      <c r="J43" s="14"/>
      <c r="K43" s="8" t="s">
        <v>439</v>
      </c>
      <c r="L43" s="14"/>
      <c r="M43" s="14"/>
      <c r="N43" s="14"/>
      <c r="O43" s="14"/>
      <c r="P43" s="14"/>
      <c r="Q43" s="14"/>
      <c r="R43" s="14"/>
      <c r="S43" s="14"/>
      <c r="T43" s="14"/>
      <c r="U43" s="8" t="s">
        <v>440</v>
      </c>
      <c r="V43" s="8" t="s">
        <v>441</v>
      </c>
      <c r="W43" s="8" t="s">
        <v>155</v>
      </c>
      <c r="X43" s="16">
        <f t="shared" si="2"/>
        <v>0.2</v>
      </c>
      <c r="Y43" s="15" t="str">
        <f t="shared" si="3"/>
        <v>no</v>
      </c>
      <c r="Z43" s="8" t="s">
        <v>114</v>
      </c>
      <c r="AA43" s="8"/>
    </row>
    <row r="44" ht="15.75" customHeight="1">
      <c r="A44" s="8" t="s">
        <v>195</v>
      </c>
      <c r="B44" s="9" t="s">
        <v>196</v>
      </c>
      <c r="C44" s="8"/>
      <c r="D44" s="8" t="s">
        <v>90</v>
      </c>
      <c r="E44" s="8" t="s">
        <v>94</v>
      </c>
      <c r="F44" s="8" t="s">
        <v>442</v>
      </c>
      <c r="G44" s="11">
        <v>990.0</v>
      </c>
      <c r="H44" s="11">
        <v>842.0</v>
      </c>
      <c r="I44" s="12">
        <f t="shared" si="1"/>
        <v>0.1494949495</v>
      </c>
      <c r="J44" s="14">
        <v>1.0</v>
      </c>
      <c r="K44" s="8" t="s">
        <v>443</v>
      </c>
      <c r="L44" s="14"/>
      <c r="M44" s="14"/>
      <c r="N44" s="14"/>
      <c r="O44" s="14"/>
      <c r="P44" s="14"/>
      <c r="Q44" s="14"/>
      <c r="R44" s="14"/>
      <c r="S44" s="14"/>
      <c r="T44" s="14"/>
      <c r="U44" s="8" t="s">
        <v>444</v>
      </c>
      <c r="V44" s="8" t="s">
        <v>414</v>
      </c>
      <c r="W44" s="8" t="s">
        <v>415</v>
      </c>
      <c r="X44" s="16">
        <f t="shared" si="2"/>
        <v>0.3</v>
      </c>
      <c r="Y44" s="15" t="str">
        <f t="shared" si="3"/>
        <v>no</v>
      </c>
      <c r="Z44" s="8" t="s">
        <v>114</v>
      </c>
      <c r="AA44" s="8"/>
    </row>
    <row r="45" ht="15.75" customHeight="1">
      <c r="A45" s="8" t="s">
        <v>198</v>
      </c>
      <c r="B45" s="9" t="s">
        <v>199</v>
      </c>
      <c r="C45" s="8"/>
      <c r="D45" s="8" t="s">
        <v>109</v>
      </c>
      <c r="E45" s="8" t="s">
        <v>76</v>
      </c>
      <c r="F45" s="8" t="s">
        <v>445</v>
      </c>
      <c r="G45" s="11">
        <v>550.0</v>
      </c>
      <c r="H45" s="11">
        <v>385.0</v>
      </c>
      <c r="I45" s="12">
        <f t="shared" si="1"/>
        <v>0.3</v>
      </c>
      <c r="J45" s="14"/>
      <c r="K45" s="8" t="s">
        <v>446</v>
      </c>
      <c r="L45" s="14">
        <v>45.0</v>
      </c>
      <c r="M45" s="14">
        <v>45.0</v>
      </c>
      <c r="N45" s="14"/>
      <c r="O45" s="14"/>
      <c r="P45" s="14"/>
      <c r="Q45" s="14"/>
      <c r="R45" s="14"/>
      <c r="S45" s="14"/>
      <c r="T45" s="14"/>
      <c r="U45" s="8" t="s">
        <v>447</v>
      </c>
      <c r="V45" s="8" t="s">
        <v>155</v>
      </c>
      <c r="W45" s="8" t="s">
        <v>155</v>
      </c>
      <c r="X45" s="16">
        <f t="shared" si="2"/>
        <v>0.3</v>
      </c>
      <c r="Y45" s="15" t="str">
        <f t="shared" si="3"/>
        <v>no</v>
      </c>
      <c r="Z45" s="8" t="s">
        <v>114</v>
      </c>
      <c r="AA45" s="8"/>
    </row>
    <row r="46" ht="15.75" customHeight="1">
      <c r="A46" s="8" t="s">
        <v>200</v>
      </c>
      <c r="B46" s="9" t="s">
        <v>202</v>
      </c>
      <c r="C46" s="8"/>
      <c r="D46" s="8" t="s">
        <v>132</v>
      </c>
      <c r="E46" s="8" t="s">
        <v>94</v>
      </c>
      <c r="F46" s="8" t="s">
        <v>448</v>
      </c>
      <c r="G46" s="11">
        <v>850.0</v>
      </c>
      <c r="H46" s="11">
        <v>595.0</v>
      </c>
      <c r="I46" s="12">
        <f t="shared" si="1"/>
        <v>0.3</v>
      </c>
      <c r="J46" s="14"/>
      <c r="K46" s="8" t="s">
        <v>85</v>
      </c>
      <c r="L46" s="14">
        <v>40.0</v>
      </c>
      <c r="M46" s="14">
        <v>40.0</v>
      </c>
      <c r="N46" s="14"/>
      <c r="O46" s="14"/>
      <c r="P46" s="14"/>
      <c r="Q46" s="14"/>
      <c r="R46" s="14"/>
      <c r="S46" s="14"/>
      <c r="T46" s="14"/>
      <c r="U46" s="8" t="s">
        <v>449</v>
      </c>
      <c r="V46" s="8" t="s">
        <v>450</v>
      </c>
      <c r="W46" s="8" t="s">
        <v>451</v>
      </c>
      <c r="X46" s="16">
        <f t="shared" si="2"/>
        <v>0.3</v>
      </c>
      <c r="Y46" s="15" t="str">
        <f t="shared" si="3"/>
        <v>no</v>
      </c>
      <c r="Z46" s="8" t="s">
        <v>114</v>
      </c>
      <c r="AA46" s="8"/>
    </row>
    <row r="47" ht="15.75" customHeight="1">
      <c r="A47" s="8" t="s">
        <v>205</v>
      </c>
      <c r="B47" s="9" t="s">
        <v>206</v>
      </c>
      <c r="C47" s="8"/>
      <c r="D47" s="8" t="s">
        <v>83</v>
      </c>
      <c r="E47" s="8" t="s">
        <v>76</v>
      </c>
      <c r="F47" s="8" t="s">
        <v>452</v>
      </c>
      <c r="G47" s="11">
        <v>120.0</v>
      </c>
      <c r="H47" s="11">
        <v>84.0</v>
      </c>
      <c r="I47" s="12">
        <f t="shared" si="1"/>
        <v>0.3</v>
      </c>
      <c r="J47" s="14">
        <v>3.0</v>
      </c>
      <c r="K47" s="8" t="s">
        <v>439</v>
      </c>
      <c r="L47" s="14"/>
      <c r="M47" s="14"/>
      <c r="N47" s="14"/>
      <c r="O47" s="14"/>
      <c r="P47" s="14"/>
      <c r="Q47" s="14"/>
      <c r="R47" s="14"/>
      <c r="S47" s="14"/>
      <c r="T47" s="14"/>
      <c r="U47" s="8" t="s">
        <v>453</v>
      </c>
      <c r="V47" s="8" t="s">
        <v>454</v>
      </c>
      <c r="W47" s="8" t="s">
        <v>155</v>
      </c>
      <c r="X47" s="16">
        <f t="shared" si="2"/>
        <v>0.3</v>
      </c>
      <c r="Y47" s="15" t="str">
        <f t="shared" si="3"/>
        <v>no</v>
      </c>
      <c r="Z47" s="8" t="s">
        <v>114</v>
      </c>
      <c r="AA47" s="8"/>
    </row>
    <row r="48" ht="15.75" customHeight="1">
      <c r="A48" s="8" t="s">
        <v>209</v>
      </c>
      <c r="B48" s="9" t="s">
        <v>210</v>
      </c>
      <c r="C48" s="8"/>
      <c r="D48" s="8" t="s">
        <v>70</v>
      </c>
      <c r="E48" s="8" t="s">
        <v>76</v>
      </c>
      <c r="F48" s="8" t="s">
        <v>455</v>
      </c>
      <c r="G48" s="11">
        <v>850000.0</v>
      </c>
      <c r="H48" s="11">
        <v>595000.0</v>
      </c>
      <c r="I48" s="12">
        <f t="shared" si="1"/>
        <v>0.3</v>
      </c>
      <c r="J48" s="14"/>
      <c r="K48" s="8" t="s">
        <v>85</v>
      </c>
      <c r="L48" s="14"/>
      <c r="M48" s="14"/>
      <c r="N48" s="14"/>
      <c r="O48" s="14"/>
      <c r="P48" s="14"/>
      <c r="Q48" s="14"/>
      <c r="R48" s="14"/>
      <c r="S48" s="14"/>
      <c r="T48" s="14"/>
      <c r="U48" s="8" t="s">
        <v>456</v>
      </c>
      <c r="V48" s="8" t="s">
        <v>153</v>
      </c>
      <c r="W48" s="8" t="s">
        <v>155</v>
      </c>
      <c r="X48" s="16">
        <f t="shared" si="2"/>
        <v>0.2</v>
      </c>
      <c r="Y48" s="15" t="str">
        <f t="shared" si="3"/>
        <v>no</v>
      </c>
      <c r="Z48" s="8" t="s">
        <v>114</v>
      </c>
      <c r="AA48" s="8"/>
    </row>
    <row r="49" ht="15.75" customHeight="1">
      <c r="A49" s="8" t="s">
        <v>212</v>
      </c>
      <c r="B49" s="9" t="s">
        <v>214</v>
      </c>
      <c r="C49" s="8"/>
      <c r="D49" s="8" t="s">
        <v>70</v>
      </c>
      <c r="E49" s="8" t="s">
        <v>76</v>
      </c>
      <c r="F49" s="8" t="s">
        <v>457</v>
      </c>
      <c r="G49" s="11">
        <v>200000.0</v>
      </c>
      <c r="H49" s="11">
        <v>140000.0</v>
      </c>
      <c r="I49" s="12">
        <f t="shared" si="1"/>
        <v>0.3</v>
      </c>
      <c r="J49" s="14"/>
      <c r="K49" s="8" t="s">
        <v>126</v>
      </c>
      <c r="L49" s="14"/>
      <c r="M49" s="14"/>
      <c r="N49" s="14"/>
      <c r="O49" s="14"/>
      <c r="P49" s="14"/>
      <c r="Q49" s="14"/>
      <c r="R49" s="14"/>
      <c r="S49" s="14"/>
      <c r="T49" s="14"/>
      <c r="U49" s="8" t="s">
        <v>458</v>
      </c>
      <c r="V49" s="8"/>
      <c r="W49" s="8" t="s">
        <v>130</v>
      </c>
      <c r="X49" s="16">
        <f t="shared" si="2"/>
        <v>0.2</v>
      </c>
      <c r="Y49" s="15" t="str">
        <f t="shared" si="3"/>
        <v>no</v>
      </c>
      <c r="Z49" s="8" t="s">
        <v>114</v>
      </c>
      <c r="AA49" s="8"/>
    </row>
    <row r="50" ht="15.75" customHeight="1">
      <c r="A50" s="8" t="s">
        <v>215</v>
      </c>
      <c r="B50" s="9" t="s">
        <v>216</v>
      </c>
      <c r="C50" s="8"/>
      <c r="D50" s="8" t="s">
        <v>134</v>
      </c>
      <c r="E50" s="8" t="s">
        <v>94</v>
      </c>
      <c r="F50" s="8" t="s">
        <v>459</v>
      </c>
      <c r="G50" s="11">
        <v>1966250.0</v>
      </c>
      <c r="H50" s="11">
        <v>1250000.0</v>
      </c>
      <c r="I50" s="12">
        <f t="shared" si="1"/>
        <v>0.3642720915</v>
      </c>
      <c r="J50" s="14"/>
      <c r="K50" s="8" t="s">
        <v>85</v>
      </c>
      <c r="L50" s="14"/>
      <c r="M50" s="14"/>
      <c r="N50" s="14"/>
      <c r="O50" s="14"/>
      <c r="P50" s="14"/>
      <c r="Q50" s="14"/>
      <c r="R50" s="14"/>
      <c r="S50" s="14"/>
      <c r="T50" s="14"/>
      <c r="U50" s="8" t="s">
        <v>460</v>
      </c>
      <c r="V50" s="8" t="s">
        <v>153</v>
      </c>
      <c r="W50" s="8" t="s">
        <v>155</v>
      </c>
      <c r="X50" s="16">
        <f t="shared" si="2"/>
        <v>0.2</v>
      </c>
      <c r="Y50" s="15" t="str">
        <f t="shared" si="3"/>
        <v>no</v>
      </c>
      <c r="Z50" s="8" t="s">
        <v>331</v>
      </c>
      <c r="AA50" s="8" t="s">
        <v>461</v>
      </c>
    </row>
    <row r="51" ht="15.75" customHeight="1">
      <c r="A51" s="8" t="s">
        <v>217</v>
      </c>
      <c r="B51" s="9" t="s">
        <v>218</v>
      </c>
      <c r="C51" s="8"/>
      <c r="D51" s="8" t="s">
        <v>111</v>
      </c>
      <c r="E51" s="8" t="s">
        <v>76</v>
      </c>
      <c r="F51" s="8" t="s">
        <v>462</v>
      </c>
      <c r="G51" s="11">
        <v>910000.0</v>
      </c>
      <c r="H51" s="11">
        <v>700000.0</v>
      </c>
      <c r="I51" s="12">
        <f t="shared" si="1"/>
        <v>0.2307692308</v>
      </c>
      <c r="J51" s="14"/>
      <c r="K51" s="8" t="s">
        <v>85</v>
      </c>
      <c r="L51" s="14">
        <v>35.0</v>
      </c>
      <c r="M51" s="14">
        <v>58.0</v>
      </c>
      <c r="N51" s="14">
        <v>58.0</v>
      </c>
      <c r="O51" s="14"/>
      <c r="P51" s="14"/>
      <c r="Q51" s="14"/>
      <c r="R51" s="14"/>
      <c r="S51" s="14"/>
      <c r="T51" s="14"/>
      <c r="U51" s="8" t="s">
        <v>463</v>
      </c>
      <c r="V51" s="8" t="s">
        <v>155</v>
      </c>
      <c r="W51" s="8" t="s">
        <v>155</v>
      </c>
      <c r="X51" s="16">
        <f t="shared" si="2"/>
        <v>0.3</v>
      </c>
      <c r="Y51" s="15" t="str">
        <f t="shared" si="3"/>
        <v>no</v>
      </c>
      <c r="Z51" s="8" t="s">
        <v>114</v>
      </c>
      <c r="AA51" s="8"/>
    </row>
    <row r="52" ht="15.75" customHeight="1">
      <c r="A52" s="8" t="s">
        <v>221</v>
      </c>
      <c r="B52" s="9" t="s">
        <v>222</v>
      </c>
      <c r="C52" s="8"/>
      <c r="D52" s="8" t="s">
        <v>138</v>
      </c>
      <c r="E52" s="8" t="s">
        <v>94</v>
      </c>
      <c r="F52" s="8" t="s">
        <v>464</v>
      </c>
      <c r="G52" s="11">
        <v>80000.0</v>
      </c>
      <c r="H52" s="11">
        <v>48000.0</v>
      </c>
      <c r="I52" s="12">
        <f t="shared" si="1"/>
        <v>0.4</v>
      </c>
      <c r="J52" s="14"/>
      <c r="K52" s="8" t="s">
        <v>85</v>
      </c>
      <c r="L52" s="14"/>
      <c r="M52" s="14"/>
      <c r="N52" s="14"/>
      <c r="O52" s="14"/>
      <c r="P52" s="14"/>
      <c r="Q52" s="14"/>
      <c r="R52" s="14"/>
      <c r="S52" s="14"/>
      <c r="T52" s="14"/>
      <c r="U52" s="8" t="s">
        <v>465</v>
      </c>
      <c r="V52" s="8" t="s">
        <v>466</v>
      </c>
      <c r="W52" s="8" t="s">
        <v>467</v>
      </c>
      <c r="X52" s="16">
        <f t="shared" si="2"/>
        <v>0.2</v>
      </c>
      <c r="Y52" s="15" t="str">
        <f t="shared" si="3"/>
        <v>no</v>
      </c>
      <c r="Z52" s="8" t="s">
        <v>331</v>
      </c>
      <c r="AA52" s="8" t="s">
        <v>468</v>
      </c>
    </row>
    <row r="53" ht="15.75" customHeight="1">
      <c r="A53" s="8" t="s">
        <v>224</v>
      </c>
      <c r="B53" s="9" t="s">
        <v>227</v>
      </c>
      <c r="C53" s="8"/>
      <c r="D53" s="8" t="s">
        <v>138</v>
      </c>
      <c r="E53" s="8" t="s">
        <v>94</v>
      </c>
      <c r="F53" s="8" t="s">
        <v>469</v>
      </c>
      <c r="G53" s="11">
        <v>100000.0</v>
      </c>
      <c r="H53" s="11">
        <v>60000.0</v>
      </c>
      <c r="I53" s="12">
        <f t="shared" si="1"/>
        <v>0.4</v>
      </c>
      <c r="J53" s="14">
        <v>11.0</v>
      </c>
      <c r="K53" s="8" t="s">
        <v>470</v>
      </c>
      <c r="L53" s="14"/>
      <c r="M53" s="14"/>
      <c r="N53" s="14"/>
      <c r="O53" s="14"/>
      <c r="P53" s="14"/>
      <c r="Q53" s="14"/>
      <c r="R53" s="14"/>
      <c r="S53" s="14"/>
      <c r="T53" s="14"/>
      <c r="U53" s="8" t="s">
        <v>471</v>
      </c>
      <c r="V53" s="8" t="s">
        <v>472</v>
      </c>
      <c r="W53" s="8" t="s">
        <v>179</v>
      </c>
      <c r="X53" s="16">
        <f t="shared" si="2"/>
        <v>0.3</v>
      </c>
      <c r="Y53" s="15" t="str">
        <f t="shared" si="3"/>
        <v>no</v>
      </c>
      <c r="Z53" s="8" t="s">
        <v>114</v>
      </c>
      <c r="AA53" s="8"/>
    </row>
    <row r="54" ht="15.75" customHeight="1">
      <c r="A54" s="8" t="s">
        <v>473</v>
      </c>
      <c r="B54" s="9" t="s">
        <v>474</v>
      </c>
      <c r="C54" s="8" t="s">
        <v>475</v>
      </c>
      <c r="D54" s="8" t="s">
        <v>90</v>
      </c>
      <c r="E54" s="8" t="s">
        <v>94</v>
      </c>
      <c r="F54" s="8" t="s">
        <v>476</v>
      </c>
      <c r="G54" s="11">
        <v>160.0</v>
      </c>
      <c r="H54" s="11">
        <v>136.0</v>
      </c>
      <c r="I54" s="12">
        <f t="shared" si="1"/>
        <v>0.15</v>
      </c>
      <c r="J54" s="14"/>
      <c r="K54" s="8" t="s">
        <v>477</v>
      </c>
      <c r="L54" s="14"/>
      <c r="M54" s="14"/>
      <c r="N54" s="14"/>
      <c r="O54" s="14"/>
      <c r="P54" s="14"/>
      <c r="Q54" s="14"/>
      <c r="R54" s="14"/>
      <c r="S54" s="14"/>
      <c r="T54" s="14"/>
      <c r="U54" s="8" t="s">
        <v>478</v>
      </c>
      <c r="V54" s="8" t="s">
        <v>414</v>
      </c>
      <c r="W54" s="8" t="s">
        <v>415</v>
      </c>
      <c r="X54" s="16">
        <f t="shared" si="2"/>
        <v>0.3</v>
      </c>
      <c r="Y54" s="15" t="str">
        <f t="shared" si="3"/>
        <v>no</v>
      </c>
      <c r="Z54" s="8" t="s">
        <v>114</v>
      </c>
      <c r="AA54" s="8"/>
    </row>
    <row r="55" ht="15.75" customHeight="1">
      <c r="A55" s="8" t="s">
        <v>479</v>
      </c>
      <c r="B55" s="9" t="s">
        <v>480</v>
      </c>
      <c r="C55" s="8" t="s">
        <v>475</v>
      </c>
      <c r="D55" s="8" t="s">
        <v>90</v>
      </c>
      <c r="E55" s="8" t="s">
        <v>94</v>
      </c>
      <c r="F55" s="8" t="s">
        <v>481</v>
      </c>
      <c r="G55" s="11">
        <v>300.0</v>
      </c>
      <c r="H55" s="11">
        <v>255.0</v>
      </c>
      <c r="I55" s="12">
        <f t="shared" si="1"/>
        <v>0.15</v>
      </c>
      <c r="J55" s="14"/>
      <c r="K55" s="8" t="s">
        <v>85</v>
      </c>
      <c r="L55" s="14"/>
      <c r="M55" s="14"/>
      <c r="N55" s="14"/>
      <c r="O55" s="14"/>
      <c r="P55" s="14"/>
      <c r="Q55" s="14"/>
      <c r="R55" s="14"/>
      <c r="S55" s="14"/>
      <c r="T55" s="14"/>
      <c r="U55" s="8" t="s">
        <v>482</v>
      </c>
      <c r="V55" s="8" t="s">
        <v>414</v>
      </c>
      <c r="W55" s="8" t="s">
        <v>415</v>
      </c>
      <c r="X55" s="16">
        <f t="shared" si="2"/>
        <v>0.3</v>
      </c>
      <c r="Y55" s="15" t="str">
        <f t="shared" si="3"/>
        <v>no</v>
      </c>
      <c r="Z55" s="8" t="s">
        <v>114</v>
      </c>
      <c r="AA55" s="8"/>
    </row>
    <row r="56" ht="15.75" customHeight="1">
      <c r="A56" s="8" t="s">
        <v>483</v>
      </c>
      <c r="B56" s="9" t="s">
        <v>484</v>
      </c>
      <c r="C56" s="8" t="s">
        <v>475</v>
      </c>
      <c r="D56" s="8" t="s">
        <v>90</v>
      </c>
      <c r="E56" s="8" t="s">
        <v>94</v>
      </c>
      <c r="F56" s="8" t="s">
        <v>485</v>
      </c>
      <c r="G56" s="11">
        <v>335.0</v>
      </c>
      <c r="H56" s="11">
        <v>285.0</v>
      </c>
      <c r="I56" s="12">
        <f t="shared" si="1"/>
        <v>0.1492537313</v>
      </c>
      <c r="J56" s="14"/>
      <c r="K56" s="8" t="s">
        <v>486</v>
      </c>
      <c r="L56" s="14"/>
      <c r="M56" s="14"/>
      <c r="N56" s="14"/>
      <c r="O56" s="14"/>
      <c r="P56" s="14"/>
      <c r="Q56" s="14"/>
      <c r="R56" s="14"/>
      <c r="S56" s="14"/>
      <c r="T56" s="14"/>
      <c r="U56" s="8" t="s">
        <v>487</v>
      </c>
      <c r="V56" s="8" t="s">
        <v>414</v>
      </c>
      <c r="W56" s="8" t="s">
        <v>415</v>
      </c>
      <c r="X56" s="16">
        <f t="shared" si="2"/>
        <v>0.3</v>
      </c>
      <c r="Y56" s="15" t="str">
        <f t="shared" si="3"/>
        <v>no</v>
      </c>
      <c r="Z56" s="8" t="s">
        <v>114</v>
      </c>
      <c r="AA56" s="8"/>
    </row>
    <row r="57" ht="15.75" customHeight="1">
      <c r="A57" s="8" t="s">
        <v>488</v>
      </c>
      <c r="B57" s="9" t="s">
        <v>489</v>
      </c>
      <c r="C57" s="8" t="s">
        <v>475</v>
      </c>
      <c r="D57" s="8" t="s">
        <v>90</v>
      </c>
      <c r="E57" s="8" t="s">
        <v>94</v>
      </c>
      <c r="F57" s="8" t="s">
        <v>490</v>
      </c>
      <c r="G57" s="11">
        <v>640.0</v>
      </c>
      <c r="H57" s="11">
        <v>544.0</v>
      </c>
      <c r="I57" s="12">
        <f t="shared" si="1"/>
        <v>0.15</v>
      </c>
      <c r="J57" s="14"/>
      <c r="K57" s="8" t="s">
        <v>85</v>
      </c>
      <c r="L57" s="14"/>
      <c r="M57" s="14"/>
      <c r="N57" s="14"/>
      <c r="O57" s="14"/>
      <c r="P57" s="14"/>
      <c r="Q57" s="14"/>
      <c r="R57" s="14"/>
      <c r="S57" s="14"/>
      <c r="T57" s="14"/>
      <c r="U57" s="8" t="s">
        <v>491</v>
      </c>
      <c r="V57" s="8" t="s">
        <v>414</v>
      </c>
      <c r="W57" s="8" t="s">
        <v>415</v>
      </c>
      <c r="X57" s="16">
        <f t="shared" si="2"/>
        <v>0.3</v>
      </c>
      <c r="Y57" s="15" t="str">
        <f t="shared" si="3"/>
        <v>no</v>
      </c>
      <c r="Z57" s="8" t="s">
        <v>114</v>
      </c>
      <c r="AA57" s="8"/>
    </row>
    <row r="58" ht="15.75" customHeight="1">
      <c r="A58" s="8" t="s">
        <v>492</v>
      </c>
      <c r="B58" s="9" t="s">
        <v>493</v>
      </c>
      <c r="C58" s="8" t="s">
        <v>475</v>
      </c>
      <c r="D58" s="8" t="s">
        <v>90</v>
      </c>
      <c r="E58" s="8" t="s">
        <v>94</v>
      </c>
      <c r="F58" s="8" t="s">
        <v>494</v>
      </c>
      <c r="G58" s="11">
        <v>370.0</v>
      </c>
      <c r="H58" s="11">
        <v>314.0</v>
      </c>
      <c r="I58" s="12">
        <f t="shared" si="1"/>
        <v>0.1513513514</v>
      </c>
      <c r="J58" s="14"/>
      <c r="K58" s="8" t="s">
        <v>85</v>
      </c>
      <c r="L58" s="14"/>
      <c r="M58" s="14"/>
      <c r="N58" s="14"/>
      <c r="O58" s="14"/>
      <c r="P58" s="14"/>
      <c r="Q58" s="14"/>
      <c r="R58" s="14"/>
      <c r="S58" s="14"/>
      <c r="T58" s="14"/>
      <c r="U58" s="8" t="s">
        <v>495</v>
      </c>
      <c r="V58" s="8" t="s">
        <v>414</v>
      </c>
      <c r="W58" s="8" t="s">
        <v>415</v>
      </c>
      <c r="X58" s="16">
        <f t="shared" si="2"/>
        <v>0.3</v>
      </c>
      <c r="Y58" s="15" t="str">
        <f t="shared" si="3"/>
        <v>no</v>
      </c>
      <c r="Z58" s="8" t="s">
        <v>114</v>
      </c>
      <c r="AA58" s="8"/>
    </row>
    <row r="59" ht="15.75" customHeight="1">
      <c r="A59" s="22" t="s">
        <v>496</v>
      </c>
      <c r="B59" s="23" t="s">
        <v>497</v>
      </c>
      <c r="C59" s="22" t="s">
        <v>475</v>
      </c>
      <c r="D59" s="22"/>
      <c r="E59" s="22" t="s">
        <v>76</v>
      </c>
      <c r="F59" s="22"/>
      <c r="G59" s="11">
        <v>129000.0</v>
      </c>
      <c r="H59" s="11"/>
      <c r="I59" s="12">
        <f t="shared" si="1"/>
        <v>1</v>
      </c>
      <c r="J59" s="14">
        <v>1.0</v>
      </c>
      <c r="K59" s="8"/>
      <c r="L59" s="14"/>
      <c r="M59" s="14"/>
      <c r="N59" s="14"/>
      <c r="O59" s="14"/>
      <c r="P59" s="14"/>
      <c r="Q59" s="14"/>
      <c r="R59" s="14"/>
      <c r="S59" s="14"/>
      <c r="T59" s="14"/>
      <c r="U59" s="8" t="s">
        <v>498</v>
      </c>
      <c r="V59" s="8"/>
      <c r="W59" s="8"/>
      <c r="X59" s="16">
        <f t="shared" si="2"/>
        <v>0.4</v>
      </c>
      <c r="Y59" s="15" t="str">
        <f t="shared" si="3"/>
        <v>no</v>
      </c>
      <c r="Z59" s="8" t="s">
        <v>499</v>
      </c>
      <c r="AA59" s="8" t="s">
        <v>500</v>
      </c>
    </row>
    <row r="60" ht="15.75" customHeight="1">
      <c r="A60" s="8" t="s">
        <v>501</v>
      </c>
      <c r="B60" s="9" t="s">
        <v>502</v>
      </c>
      <c r="C60" s="8" t="s">
        <v>475</v>
      </c>
      <c r="D60" s="8" t="s">
        <v>95</v>
      </c>
      <c r="E60" s="8" t="s">
        <v>76</v>
      </c>
      <c r="F60" s="8" t="s">
        <v>503</v>
      </c>
      <c r="G60" s="11">
        <v>265716.0</v>
      </c>
      <c r="H60" s="11">
        <v>90000.0</v>
      </c>
      <c r="I60" s="12">
        <f t="shared" si="1"/>
        <v>0.6612925078</v>
      </c>
      <c r="J60" s="14"/>
      <c r="K60" s="8" t="s">
        <v>504</v>
      </c>
      <c r="L60" s="14"/>
      <c r="M60" s="14"/>
      <c r="N60" s="14"/>
      <c r="O60" s="14"/>
      <c r="P60" s="14"/>
      <c r="Q60" s="14"/>
      <c r="R60" s="14"/>
      <c r="S60" s="14"/>
      <c r="T60" s="14"/>
      <c r="U60" s="8" t="s">
        <v>505</v>
      </c>
      <c r="V60" s="8" t="s">
        <v>506</v>
      </c>
      <c r="W60" s="8" t="s">
        <v>93</v>
      </c>
      <c r="X60" s="16">
        <f t="shared" si="2"/>
        <v>0.3</v>
      </c>
      <c r="Y60" s="15" t="str">
        <f t="shared" si="3"/>
        <v>no</v>
      </c>
      <c r="Z60" s="8" t="s">
        <v>114</v>
      </c>
      <c r="AA60" s="8"/>
    </row>
    <row r="61" ht="15.75" customHeight="1">
      <c r="A61" s="8" t="s">
        <v>507</v>
      </c>
      <c r="B61" s="9" t="s">
        <v>508</v>
      </c>
      <c r="C61" s="8" t="s">
        <v>192</v>
      </c>
      <c r="D61" s="8" t="s">
        <v>72</v>
      </c>
      <c r="E61" s="8" t="s">
        <v>76</v>
      </c>
      <c r="F61" s="8" t="s">
        <v>509</v>
      </c>
      <c r="G61" s="11">
        <v>80000.0</v>
      </c>
      <c r="H61" s="11">
        <v>52000.0</v>
      </c>
      <c r="I61" s="12">
        <f t="shared" si="1"/>
        <v>0.35</v>
      </c>
      <c r="J61" s="14"/>
      <c r="K61" s="8" t="s">
        <v>85</v>
      </c>
      <c r="L61" s="14"/>
      <c r="M61" s="14"/>
      <c r="N61" s="14"/>
      <c r="O61" s="14"/>
      <c r="P61" s="14"/>
      <c r="Q61" s="14"/>
      <c r="R61" s="14"/>
      <c r="S61" s="14"/>
      <c r="T61" s="14"/>
      <c r="U61" s="8" t="s">
        <v>510</v>
      </c>
      <c r="V61" s="8" t="s">
        <v>329</v>
      </c>
      <c r="W61" s="8" t="s">
        <v>155</v>
      </c>
      <c r="X61" s="16">
        <f t="shared" si="2"/>
        <v>0.3</v>
      </c>
      <c r="Y61" s="15" t="str">
        <f t="shared" si="3"/>
        <v>no</v>
      </c>
      <c r="Z61" s="8" t="s">
        <v>114</v>
      </c>
      <c r="AA61" s="8"/>
    </row>
    <row r="62" ht="15.75" customHeight="1">
      <c r="A62" s="8" t="s">
        <v>511</v>
      </c>
      <c r="B62" s="9" t="s">
        <v>512</v>
      </c>
      <c r="C62" s="8" t="s">
        <v>192</v>
      </c>
      <c r="D62" s="8" t="s">
        <v>72</v>
      </c>
      <c r="E62" s="8" t="s">
        <v>76</v>
      </c>
      <c r="F62" s="8" t="s">
        <v>513</v>
      </c>
      <c r="G62" s="11">
        <v>50000.0</v>
      </c>
      <c r="H62" s="11">
        <v>32500.0</v>
      </c>
      <c r="I62" s="12">
        <f t="shared" si="1"/>
        <v>0.35</v>
      </c>
      <c r="J62" s="14">
        <v>2.0</v>
      </c>
      <c r="K62" s="8" t="s">
        <v>175</v>
      </c>
      <c r="L62" s="14"/>
      <c r="M62" s="14"/>
      <c r="N62" s="14"/>
      <c r="O62" s="14"/>
      <c r="P62" s="14"/>
      <c r="Q62" s="14"/>
      <c r="R62" s="14"/>
      <c r="S62" s="14"/>
      <c r="T62" s="14"/>
      <c r="U62" s="8" t="s">
        <v>514</v>
      </c>
      <c r="V62" s="8" t="s">
        <v>155</v>
      </c>
      <c r="W62" s="8" t="s">
        <v>155</v>
      </c>
      <c r="X62" s="16">
        <f t="shared" si="2"/>
        <v>0.4</v>
      </c>
      <c r="Y62" s="15" t="str">
        <f t="shared" si="3"/>
        <v>no</v>
      </c>
      <c r="Z62" s="8" t="s">
        <v>114</v>
      </c>
      <c r="AA62" s="8"/>
    </row>
    <row r="63" ht="15.75" customHeight="1">
      <c r="A63" s="8" t="s">
        <v>515</v>
      </c>
      <c r="B63" s="9" t="s">
        <v>516</v>
      </c>
      <c r="C63" s="8" t="s">
        <v>192</v>
      </c>
      <c r="D63" s="8" t="s">
        <v>72</v>
      </c>
      <c r="E63" s="8" t="s">
        <v>76</v>
      </c>
      <c r="F63" s="8" t="s">
        <v>517</v>
      </c>
      <c r="G63" s="11">
        <v>95000.0</v>
      </c>
      <c r="H63" s="11">
        <v>61750.0</v>
      </c>
      <c r="I63" s="12">
        <f t="shared" si="1"/>
        <v>0.35</v>
      </c>
      <c r="J63" s="14">
        <v>3.0</v>
      </c>
      <c r="K63" s="8" t="s">
        <v>439</v>
      </c>
      <c r="L63" s="14"/>
      <c r="M63" s="14"/>
      <c r="N63" s="14"/>
      <c r="O63" s="14"/>
      <c r="P63" s="14"/>
      <c r="Q63" s="14"/>
      <c r="R63" s="14"/>
      <c r="S63" s="14"/>
      <c r="T63" s="14"/>
      <c r="U63" s="8" t="s">
        <v>518</v>
      </c>
      <c r="V63" s="8" t="s">
        <v>519</v>
      </c>
      <c r="W63" s="8" t="s">
        <v>179</v>
      </c>
      <c r="X63" s="16">
        <f t="shared" si="2"/>
        <v>0.4</v>
      </c>
      <c r="Y63" s="15" t="str">
        <f t="shared" si="3"/>
        <v>no</v>
      </c>
      <c r="Z63" s="8" t="s">
        <v>114</v>
      </c>
      <c r="AA63" s="8"/>
    </row>
    <row r="64" ht="15.75" customHeight="1">
      <c r="A64" s="8" t="s">
        <v>520</v>
      </c>
      <c r="B64" s="9" t="s">
        <v>521</v>
      </c>
      <c r="C64" s="8" t="s">
        <v>192</v>
      </c>
      <c r="D64" s="8" t="s">
        <v>72</v>
      </c>
      <c r="E64" s="8" t="s">
        <v>76</v>
      </c>
      <c r="F64" s="8" t="s">
        <v>522</v>
      </c>
      <c r="G64" s="11">
        <v>54000.0</v>
      </c>
      <c r="H64" s="11">
        <v>35100.0</v>
      </c>
      <c r="I64" s="12">
        <f t="shared" si="1"/>
        <v>0.35</v>
      </c>
      <c r="J64" s="14">
        <v>2.0</v>
      </c>
      <c r="K64" s="8" t="s">
        <v>175</v>
      </c>
      <c r="L64" s="14"/>
      <c r="M64" s="14"/>
      <c r="N64" s="14"/>
      <c r="O64" s="14"/>
      <c r="P64" s="14"/>
      <c r="Q64" s="14"/>
      <c r="R64" s="14"/>
      <c r="S64" s="14"/>
      <c r="T64" s="14"/>
      <c r="U64" s="8" t="s">
        <v>523</v>
      </c>
      <c r="V64" s="8" t="s">
        <v>524</v>
      </c>
      <c r="W64" s="8" t="s">
        <v>179</v>
      </c>
      <c r="X64" s="16">
        <f t="shared" si="2"/>
        <v>0.4</v>
      </c>
      <c r="Y64" s="15" t="str">
        <f t="shared" si="3"/>
        <v>no</v>
      </c>
      <c r="Z64" s="8" t="s">
        <v>114</v>
      </c>
      <c r="AA64" s="8"/>
    </row>
    <row r="65" ht="15.75" customHeight="1">
      <c r="A65" s="8" t="s">
        <v>525</v>
      </c>
      <c r="B65" s="9" t="s">
        <v>526</v>
      </c>
      <c r="C65" s="8" t="s">
        <v>192</v>
      </c>
      <c r="D65" s="8" t="s">
        <v>72</v>
      </c>
      <c r="E65" s="8" t="s">
        <v>76</v>
      </c>
      <c r="F65" s="8" t="s">
        <v>527</v>
      </c>
      <c r="G65" s="11">
        <v>56000.0</v>
      </c>
      <c r="H65" s="11">
        <v>36400.0</v>
      </c>
      <c r="I65" s="12">
        <f t="shared" si="1"/>
        <v>0.35</v>
      </c>
      <c r="J65" s="14">
        <v>4.0</v>
      </c>
      <c r="K65" s="8" t="s">
        <v>402</v>
      </c>
      <c r="L65" s="14"/>
      <c r="M65" s="14"/>
      <c r="N65" s="14"/>
      <c r="O65" s="14"/>
      <c r="P65" s="14"/>
      <c r="Q65" s="14"/>
      <c r="R65" s="14"/>
      <c r="S65" s="14"/>
      <c r="T65" s="14"/>
      <c r="U65" s="8" t="s">
        <v>528</v>
      </c>
      <c r="V65" s="8" t="s">
        <v>529</v>
      </c>
      <c r="W65" s="8" t="s">
        <v>179</v>
      </c>
      <c r="X65" s="16">
        <f t="shared" si="2"/>
        <v>0.4</v>
      </c>
      <c r="Y65" s="15" t="str">
        <f t="shared" si="3"/>
        <v>no</v>
      </c>
      <c r="Z65" s="8" t="s">
        <v>114</v>
      </c>
      <c r="AA65" s="8"/>
    </row>
    <row r="66" ht="15.75" customHeight="1">
      <c r="A66" s="8" t="s">
        <v>530</v>
      </c>
      <c r="B66" s="9" t="s">
        <v>531</v>
      </c>
      <c r="C66" s="8" t="s">
        <v>192</v>
      </c>
      <c r="D66" s="8" t="s">
        <v>72</v>
      </c>
      <c r="E66" s="8" t="s">
        <v>76</v>
      </c>
      <c r="F66" s="8" t="s">
        <v>532</v>
      </c>
      <c r="G66" s="11">
        <v>45000.0</v>
      </c>
      <c r="H66" s="11">
        <v>29250.0</v>
      </c>
      <c r="I66" s="12">
        <f t="shared" si="1"/>
        <v>0.35</v>
      </c>
      <c r="J66" s="14">
        <v>5.0</v>
      </c>
      <c r="K66" s="8" t="s">
        <v>533</v>
      </c>
      <c r="L66" s="14"/>
      <c r="M66" s="14"/>
      <c r="N66" s="14"/>
      <c r="O66" s="14"/>
      <c r="P66" s="14"/>
      <c r="Q66" s="14"/>
      <c r="R66" s="14"/>
      <c r="S66" s="14"/>
      <c r="T66" s="14"/>
      <c r="U66" s="8" t="s">
        <v>534</v>
      </c>
      <c r="V66" s="8" t="s">
        <v>535</v>
      </c>
      <c r="W66" s="8" t="s">
        <v>179</v>
      </c>
      <c r="X66" s="16">
        <f t="shared" si="2"/>
        <v>0.4</v>
      </c>
      <c r="Y66" s="15" t="str">
        <f t="shared" si="3"/>
        <v>no</v>
      </c>
      <c r="Z66" s="8" t="s">
        <v>114</v>
      </c>
      <c r="AA66" s="8"/>
    </row>
    <row r="67" ht="15.75" customHeight="1">
      <c r="A67" s="8" t="s">
        <v>536</v>
      </c>
      <c r="B67" s="9" t="s">
        <v>537</v>
      </c>
      <c r="C67" s="8" t="s">
        <v>192</v>
      </c>
      <c r="D67" s="8" t="s">
        <v>72</v>
      </c>
      <c r="E67" s="8" t="s">
        <v>76</v>
      </c>
      <c r="F67" s="8" t="s">
        <v>538</v>
      </c>
      <c r="G67" s="11">
        <v>47000.0</v>
      </c>
      <c r="H67" s="11">
        <v>30550.0</v>
      </c>
      <c r="I67" s="12">
        <f t="shared" si="1"/>
        <v>0.35</v>
      </c>
      <c r="J67" s="14"/>
      <c r="K67" s="8" t="s">
        <v>402</v>
      </c>
      <c r="L67" s="14"/>
      <c r="M67" s="14"/>
      <c r="N67" s="14"/>
      <c r="O67" s="14"/>
      <c r="P67" s="14"/>
      <c r="Q67" s="14"/>
      <c r="R67" s="14"/>
      <c r="S67" s="14"/>
      <c r="T67" s="14"/>
      <c r="U67" s="8" t="s">
        <v>539</v>
      </c>
      <c r="V67" s="8" t="s">
        <v>529</v>
      </c>
      <c r="W67" s="8" t="s">
        <v>179</v>
      </c>
      <c r="X67" s="16">
        <f t="shared" si="2"/>
        <v>0.3</v>
      </c>
      <c r="Y67" s="15" t="str">
        <f t="shared" si="3"/>
        <v>no</v>
      </c>
      <c r="Z67" s="8" t="s">
        <v>114</v>
      </c>
      <c r="AA67" s="8" t="s">
        <v>540</v>
      </c>
    </row>
    <row r="68" ht="15.75" customHeight="1">
      <c r="A68" s="8" t="s">
        <v>541</v>
      </c>
      <c r="B68" s="9" t="s">
        <v>302</v>
      </c>
      <c r="C68" s="8" t="s">
        <v>192</v>
      </c>
      <c r="D68" s="8" t="s">
        <v>72</v>
      </c>
      <c r="E68" s="8" t="s">
        <v>76</v>
      </c>
      <c r="F68" s="8" t="s">
        <v>542</v>
      </c>
      <c r="G68" s="11">
        <v>55000.0</v>
      </c>
      <c r="H68" s="11">
        <v>35750.0</v>
      </c>
      <c r="I68" s="12">
        <f t="shared" si="1"/>
        <v>0.35</v>
      </c>
      <c r="J68" s="14">
        <v>4.0</v>
      </c>
      <c r="K68" s="8" t="s">
        <v>402</v>
      </c>
      <c r="L68" s="14"/>
      <c r="M68" s="14"/>
      <c r="N68" s="14"/>
      <c r="O68" s="14"/>
      <c r="P68" s="14"/>
      <c r="Q68" s="14"/>
      <c r="R68" s="14"/>
      <c r="S68" s="14"/>
      <c r="T68" s="14"/>
      <c r="U68" s="8" t="s">
        <v>543</v>
      </c>
      <c r="V68" s="8" t="s">
        <v>529</v>
      </c>
      <c r="W68" s="8" t="s">
        <v>179</v>
      </c>
      <c r="X68" s="16">
        <f t="shared" si="2"/>
        <v>0.4</v>
      </c>
      <c r="Y68" s="15" t="str">
        <f t="shared" si="3"/>
        <v>no</v>
      </c>
      <c r="Z68" s="8" t="s">
        <v>114</v>
      </c>
      <c r="AA68" s="8"/>
    </row>
    <row r="69" ht="15.75" customHeight="1">
      <c r="A69" s="8" t="s">
        <v>544</v>
      </c>
      <c r="B69" s="9" t="s">
        <v>545</v>
      </c>
      <c r="C69" s="8" t="s">
        <v>192</v>
      </c>
      <c r="D69" s="8" t="s">
        <v>72</v>
      </c>
      <c r="E69" s="8" t="s">
        <v>76</v>
      </c>
      <c r="F69" s="8" t="s">
        <v>546</v>
      </c>
      <c r="G69" s="11">
        <v>78000.0</v>
      </c>
      <c r="H69" s="11">
        <v>50700.0</v>
      </c>
      <c r="I69" s="12">
        <f t="shared" si="1"/>
        <v>0.35</v>
      </c>
      <c r="J69" s="14">
        <v>4.0</v>
      </c>
      <c r="K69" s="8" t="s">
        <v>402</v>
      </c>
      <c r="L69" s="14"/>
      <c r="M69" s="14"/>
      <c r="N69" s="14"/>
      <c r="O69" s="14"/>
      <c r="P69" s="14"/>
      <c r="Q69" s="14"/>
      <c r="R69" s="14"/>
      <c r="S69" s="14"/>
      <c r="T69" s="14"/>
      <c r="U69" s="8" t="s">
        <v>547</v>
      </c>
      <c r="V69" s="8" t="s">
        <v>548</v>
      </c>
      <c r="W69" s="8" t="s">
        <v>155</v>
      </c>
      <c r="X69" s="16">
        <f t="shared" si="2"/>
        <v>0.4</v>
      </c>
      <c r="Y69" s="15" t="str">
        <f t="shared" si="3"/>
        <v>no</v>
      </c>
      <c r="Z69" s="8" t="s">
        <v>114</v>
      </c>
      <c r="AA69" s="8"/>
    </row>
    <row r="70" ht="15.75" customHeight="1">
      <c r="A70" s="8" t="s">
        <v>549</v>
      </c>
      <c r="B70" s="9" t="s">
        <v>550</v>
      </c>
      <c r="C70" s="8" t="s">
        <v>192</v>
      </c>
      <c r="D70" s="8" t="s">
        <v>72</v>
      </c>
      <c r="E70" s="8" t="s">
        <v>76</v>
      </c>
      <c r="F70" s="8" t="s">
        <v>551</v>
      </c>
      <c r="G70" s="11">
        <v>63500.0</v>
      </c>
      <c r="H70" s="11">
        <v>41275.0</v>
      </c>
      <c r="I70" s="12">
        <f t="shared" si="1"/>
        <v>0.35</v>
      </c>
      <c r="J70" s="14">
        <v>4.0</v>
      </c>
      <c r="K70" s="8" t="s">
        <v>402</v>
      </c>
      <c r="L70" s="14"/>
      <c r="M70" s="14"/>
      <c r="N70" s="14"/>
      <c r="O70" s="14"/>
      <c r="P70" s="14"/>
      <c r="Q70" s="14"/>
      <c r="R70" s="14"/>
      <c r="S70" s="14"/>
      <c r="T70" s="14"/>
      <c r="U70" s="8" t="s">
        <v>552</v>
      </c>
      <c r="V70" s="8" t="s">
        <v>553</v>
      </c>
      <c r="W70" s="8" t="s">
        <v>179</v>
      </c>
      <c r="X70" s="16">
        <f t="shared" si="2"/>
        <v>0.4</v>
      </c>
      <c r="Y70" s="15" t="str">
        <f t="shared" si="3"/>
        <v>no</v>
      </c>
      <c r="Z70" s="8" t="s">
        <v>114</v>
      </c>
      <c r="AA70" s="8"/>
    </row>
    <row r="71" ht="15.75" customHeight="1">
      <c r="A71" s="8" t="s">
        <v>554</v>
      </c>
      <c r="B71" s="9" t="s">
        <v>555</v>
      </c>
      <c r="C71" s="8" t="s">
        <v>192</v>
      </c>
      <c r="D71" s="8" t="s">
        <v>72</v>
      </c>
      <c r="E71" s="8" t="s">
        <v>76</v>
      </c>
      <c r="F71" s="8" t="s">
        <v>556</v>
      </c>
      <c r="G71" s="11">
        <v>153000.0</v>
      </c>
      <c r="H71" s="11">
        <v>99450.0</v>
      </c>
      <c r="I71" s="12">
        <f t="shared" si="1"/>
        <v>0.35</v>
      </c>
      <c r="J71" s="14">
        <v>4.0</v>
      </c>
      <c r="K71" s="8" t="s">
        <v>402</v>
      </c>
      <c r="L71" s="14"/>
      <c r="M71" s="14"/>
      <c r="N71" s="14"/>
      <c r="O71" s="14"/>
      <c r="P71" s="14"/>
      <c r="Q71" s="14"/>
      <c r="R71" s="14"/>
      <c r="S71" s="14"/>
      <c r="T71" s="14"/>
      <c r="U71" s="8" t="s">
        <v>557</v>
      </c>
      <c r="V71" s="8" t="s">
        <v>558</v>
      </c>
      <c r="W71" s="8" t="s">
        <v>155</v>
      </c>
      <c r="X71" s="16">
        <f t="shared" si="2"/>
        <v>0.4</v>
      </c>
      <c r="Y71" s="15" t="str">
        <f t="shared" si="3"/>
        <v>no</v>
      </c>
      <c r="Z71" s="8" t="s">
        <v>114</v>
      </c>
      <c r="AA71" s="8"/>
    </row>
    <row r="72" ht="15.75" customHeight="1">
      <c r="A72" s="8" t="s">
        <v>559</v>
      </c>
      <c r="B72" s="9" t="s">
        <v>560</v>
      </c>
      <c r="C72" s="8" t="s">
        <v>192</v>
      </c>
      <c r="D72" s="8" t="s">
        <v>72</v>
      </c>
      <c r="E72" s="8" t="s">
        <v>76</v>
      </c>
      <c r="F72" s="8" t="s">
        <v>561</v>
      </c>
      <c r="G72" s="11">
        <v>36000.0</v>
      </c>
      <c r="H72" s="11">
        <v>23400.0</v>
      </c>
      <c r="I72" s="12">
        <f t="shared" si="1"/>
        <v>0.35</v>
      </c>
      <c r="J72" s="14">
        <v>2.0</v>
      </c>
      <c r="K72" s="8" t="s">
        <v>439</v>
      </c>
      <c r="L72" s="14"/>
      <c r="M72" s="14"/>
      <c r="N72" s="14"/>
      <c r="O72" s="14"/>
      <c r="P72" s="14"/>
      <c r="Q72" s="14"/>
      <c r="R72" s="14"/>
      <c r="S72" s="14"/>
      <c r="T72" s="14"/>
      <c r="U72" s="8" t="s">
        <v>562</v>
      </c>
      <c r="V72" s="8"/>
      <c r="W72" s="8" t="s">
        <v>130</v>
      </c>
      <c r="X72" s="16">
        <f t="shared" si="2"/>
        <v>0.4</v>
      </c>
      <c r="Y72" s="15" t="str">
        <f t="shared" si="3"/>
        <v>no</v>
      </c>
      <c r="Z72" s="8" t="s">
        <v>114</v>
      </c>
      <c r="AA72" s="8"/>
    </row>
    <row r="73" ht="15.75" customHeight="1">
      <c r="A73" s="8" t="s">
        <v>563</v>
      </c>
      <c r="B73" s="9" t="s">
        <v>564</v>
      </c>
      <c r="C73" s="8" t="s">
        <v>192</v>
      </c>
      <c r="D73" s="8" t="s">
        <v>72</v>
      </c>
      <c r="E73" s="8" t="s">
        <v>76</v>
      </c>
      <c r="F73" s="8" t="s">
        <v>565</v>
      </c>
      <c r="G73" s="11">
        <v>80000.0</v>
      </c>
      <c r="H73" s="11">
        <v>52000.0</v>
      </c>
      <c r="I73" s="12">
        <f t="shared" si="1"/>
        <v>0.35</v>
      </c>
      <c r="J73" s="14">
        <v>1.0</v>
      </c>
      <c r="K73" s="8" t="s">
        <v>85</v>
      </c>
      <c r="L73" s="14"/>
      <c r="M73" s="14"/>
      <c r="N73" s="14"/>
      <c r="O73" s="14"/>
      <c r="P73" s="14"/>
      <c r="Q73" s="14"/>
      <c r="R73" s="14"/>
      <c r="S73" s="14"/>
      <c r="T73" s="14"/>
      <c r="U73" s="8" t="s">
        <v>566</v>
      </c>
      <c r="V73" s="8" t="s">
        <v>329</v>
      </c>
      <c r="W73" s="8" t="s">
        <v>155</v>
      </c>
      <c r="X73" s="16">
        <f t="shared" si="2"/>
        <v>0.4</v>
      </c>
      <c r="Y73" s="15" t="str">
        <f t="shared" si="3"/>
        <v>no</v>
      </c>
      <c r="Z73" s="8" t="s">
        <v>114</v>
      </c>
      <c r="AA73" s="8"/>
    </row>
    <row r="74" ht="15.75" customHeight="1">
      <c r="A74" s="8" t="s">
        <v>567</v>
      </c>
      <c r="B74" s="9" t="s">
        <v>568</v>
      </c>
      <c r="C74" s="8" t="s">
        <v>192</v>
      </c>
      <c r="D74" s="8" t="s">
        <v>72</v>
      </c>
      <c r="E74" s="8" t="s">
        <v>76</v>
      </c>
      <c r="F74" s="8" t="s">
        <v>569</v>
      </c>
      <c r="G74" s="11">
        <v>71000.0</v>
      </c>
      <c r="H74" s="11">
        <v>46150.0</v>
      </c>
      <c r="I74" s="12">
        <f t="shared" si="1"/>
        <v>0.35</v>
      </c>
      <c r="J74" s="14">
        <v>2.0</v>
      </c>
      <c r="K74" s="8" t="s">
        <v>175</v>
      </c>
      <c r="L74" s="14"/>
      <c r="M74" s="14"/>
      <c r="N74" s="14"/>
      <c r="O74" s="14"/>
      <c r="P74" s="14"/>
      <c r="Q74" s="14"/>
      <c r="R74" s="14"/>
      <c r="S74" s="14"/>
      <c r="T74" s="14"/>
      <c r="U74" s="8" t="s">
        <v>570</v>
      </c>
      <c r="V74" s="8" t="s">
        <v>571</v>
      </c>
      <c r="W74" s="8" t="s">
        <v>155</v>
      </c>
      <c r="X74" s="16">
        <f t="shared" si="2"/>
        <v>0.4</v>
      </c>
      <c r="Y74" s="15" t="str">
        <f t="shared" si="3"/>
        <v>no</v>
      </c>
      <c r="Z74" s="8" t="s">
        <v>114</v>
      </c>
      <c r="AA74" s="8" t="s">
        <v>572</v>
      </c>
    </row>
    <row r="75" ht="15.75" customHeight="1">
      <c r="A75" s="8" t="s">
        <v>573</v>
      </c>
      <c r="B75" s="9" t="s">
        <v>574</v>
      </c>
      <c r="C75" s="8" t="s">
        <v>192</v>
      </c>
      <c r="D75" s="8" t="s">
        <v>72</v>
      </c>
      <c r="E75" s="8" t="s">
        <v>76</v>
      </c>
      <c r="F75" s="8" t="s">
        <v>575</v>
      </c>
      <c r="G75" s="11">
        <v>55000.0</v>
      </c>
      <c r="H75" s="11">
        <v>35750.0</v>
      </c>
      <c r="I75" s="12">
        <f t="shared" si="1"/>
        <v>0.35</v>
      </c>
      <c r="J75" s="14">
        <v>1.0</v>
      </c>
      <c r="K75" s="8" t="s">
        <v>85</v>
      </c>
      <c r="L75" s="14"/>
      <c r="M75" s="14"/>
      <c r="N75" s="14"/>
      <c r="O75" s="14"/>
      <c r="P75" s="14"/>
      <c r="Q75" s="14"/>
      <c r="R75" s="14"/>
      <c r="S75" s="14"/>
      <c r="T75" s="14"/>
      <c r="U75" s="8" t="s">
        <v>576</v>
      </c>
      <c r="V75" s="8" t="s">
        <v>329</v>
      </c>
      <c r="W75" s="8" t="s">
        <v>155</v>
      </c>
      <c r="X75" s="16">
        <f t="shared" si="2"/>
        <v>0.4</v>
      </c>
      <c r="Y75" s="15" t="str">
        <f t="shared" si="3"/>
        <v>no</v>
      </c>
      <c r="Z75" s="8" t="s">
        <v>114</v>
      </c>
      <c r="AA75" s="8"/>
    </row>
    <row r="76" ht="15.75" customHeight="1">
      <c r="A76" s="8" t="s">
        <v>577</v>
      </c>
      <c r="B76" s="9" t="s">
        <v>578</v>
      </c>
      <c r="C76" s="8" t="s">
        <v>192</v>
      </c>
      <c r="D76" s="8" t="s">
        <v>72</v>
      </c>
      <c r="E76" s="8" t="s">
        <v>76</v>
      </c>
      <c r="F76" s="8" t="s">
        <v>579</v>
      </c>
      <c r="G76" s="11">
        <v>87000.0</v>
      </c>
      <c r="H76" s="11">
        <v>56550.0</v>
      </c>
      <c r="I76" s="12">
        <f t="shared" si="1"/>
        <v>0.35</v>
      </c>
      <c r="J76" s="14"/>
      <c r="K76" s="8" t="s">
        <v>85</v>
      </c>
      <c r="L76" s="14"/>
      <c r="M76" s="14"/>
      <c r="N76" s="14"/>
      <c r="O76" s="14"/>
      <c r="P76" s="14"/>
      <c r="Q76" s="14"/>
      <c r="R76" s="14"/>
      <c r="S76" s="14"/>
      <c r="T76" s="14"/>
      <c r="U76" s="8" t="s">
        <v>580</v>
      </c>
      <c r="V76" s="8" t="s">
        <v>155</v>
      </c>
      <c r="W76" s="8" t="s">
        <v>155</v>
      </c>
      <c r="X76" s="16">
        <f t="shared" si="2"/>
        <v>0.3</v>
      </c>
      <c r="Y76" s="15" t="str">
        <f t="shared" si="3"/>
        <v>no</v>
      </c>
      <c r="Z76" s="8" t="s">
        <v>114</v>
      </c>
      <c r="AA76" s="8"/>
    </row>
    <row r="77" ht="15.75" customHeight="1">
      <c r="A77" s="8" t="s">
        <v>581</v>
      </c>
      <c r="B77" s="9" t="s">
        <v>582</v>
      </c>
      <c r="C77" s="8" t="s">
        <v>192</v>
      </c>
      <c r="D77" s="8" t="s">
        <v>72</v>
      </c>
      <c r="E77" s="8" t="s">
        <v>76</v>
      </c>
      <c r="F77" s="8" t="s">
        <v>583</v>
      </c>
      <c r="G77" s="11">
        <v>40000.0</v>
      </c>
      <c r="H77" s="11">
        <v>26000.0</v>
      </c>
      <c r="I77" s="12">
        <f t="shared" si="1"/>
        <v>0.35</v>
      </c>
      <c r="J77" s="14">
        <v>1.0</v>
      </c>
      <c r="K77" s="8" t="s">
        <v>85</v>
      </c>
      <c r="L77" s="14"/>
      <c r="M77" s="14"/>
      <c r="N77" s="14"/>
      <c r="O77" s="14"/>
      <c r="P77" s="14"/>
      <c r="Q77" s="14"/>
      <c r="R77" s="14"/>
      <c r="S77" s="14"/>
      <c r="T77" s="14"/>
      <c r="U77" s="8" t="s">
        <v>584</v>
      </c>
      <c r="V77" s="8" t="s">
        <v>329</v>
      </c>
      <c r="W77" s="8" t="s">
        <v>155</v>
      </c>
      <c r="X77" s="16">
        <f t="shared" si="2"/>
        <v>0.4</v>
      </c>
      <c r="Y77" s="15" t="str">
        <f t="shared" si="3"/>
        <v>no</v>
      </c>
      <c r="Z77" s="8" t="s">
        <v>114</v>
      </c>
      <c r="AA77" s="8"/>
    </row>
    <row r="78" ht="15.75" customHeight="1">
      <c r="A78" s="8" t="s">
        <v>585</v>
      </c>
      <c r="B78" s="9" t="s">
        <v>586</v>
      </c>
      <c r="C78" s="8" t="s">
        <v>192</v>
      </c>
      <c r="D78" s="8" t="s">
        <v>72</v>
      </c>
      <c r="E78" s="8" t="s">
        <v>76</v>
      </c>
      <c r="F78" s="8" t="s">
        <v>587</v>
      </c>
      <c r="G78" s="11">
        <v>46000.0</v>
      </c>
      <c r="H78" s="11">
        <v>29900.0</v>
      </c>
      <c r="I78" s="12">
        <f t="shared" si="1"/>
        <v>0.35</v>
      </c>
      <c r="J78" s="14">
        <v>3.0</v>
      </c>
      <c r="K78" s="8" t="s">
        <v>439</v>
      </c>
      <c r="L78" s="14"/>
      <c r="M78" s="14"/>
      <c r="N78" s="14"/>
      <c r="O78" s="14"/>
      <c r="P78" s="14"/>
      <c r="Q78" s="14"/>
      <c r="R78" s="14"/>
      <c r="S78" s="14"/>
      <c r="T78" s="14"/>
      <c r="U78" s="8" t="s">
        <v>588</v>
      </c>
      <c r="V78" s="8" t="s">
        <v>589</v>
      </c>
      <c r="W78" s="8" t="s">
        <v>179</v>
      </c>
      <c r="X78" s="16">
        <f t="shared" si="2"/>
        <v>0.4</v>
      </c>
      <c r="Y78" s="15" t="str">
        <f t="shared" si="3"/>
        <v>no</v>
      </c>
      <c r="Z78" s="8" t="s">
        <v>114</v>
      </c>
      <c r="AA78" s="8"/>
    </row>
    <row r="79" ht="15.75" customHeight="1">
      <c r="A79" s="8" t="s">
        <v>590</v>
      </c>
      <c r="B79" s="9" t="s">
        <v>591</v>
      </c>
      <c r="C79" s="8" t="s">
        <v>192</v>
      </c>
      <c r="D79" s="8" t="s">
        <v>72</v>
      </c>
      <c r="E79" s="8" t="s">
        <v>76</v>
      </c>
      <c r="F79" s="8" t="s">
        <v>592</v>
      </c>
      <c r="G79" s="11">
        <v>75000.0</v>
      </c>
      <c r="H79" s="11">
        <v>48750.0</v>
      </c>
      <c r="I79" s="12">
        <f t="shared" si="1"/>
        <v>0.35</v>
      </c>
      <c r="J79" s="14">
        <v>3.0</v>
      </c>
      <c r="K79" s="8" t="s">
        <v>439</v>
      </c>
      <c r="L79" s="14"/>
      <c r="M79" s="14"/>
      <c r="N79" s="14"/>
      <c r="O79" s="14"/>
      <c r="P79" s="14"/>
      <c r="Q79" s="14"/>
      <c r="R79" s="14"/>
      <c r="S79" s="14"/>
      <c r="T79" s="14"/>
      <c r="U79" s="8" t="s">
        <v>593</v>
      </c>
      <c r="V79" s="8" t="s">
        <v>529</v>
      </c>
      <c r="W79" s="8" t="s">
        <v>179</v>
      </c>
      <c r="X79" s="16">
        <f t="shared" si="2"/>
        <v>0.4</v>
      </c>
      <c r="Y79" s="15" t="str">
        <f t="shared" si="3"/>
        <v>no</v>
      </c>
      <c r="Z79" s="8" t="s">
        <v>114</v>
      </c>
      <c r="AA79" s="8"/>
    </row>
    <row r="80" ht="15.75" customHeight="1">
      <c r="A80" s="8" t="s">
        <v>594</v>
      </c>
      <c r="B80" s="9" t="s">
        <v>297</v>
      </c>
      <c r="C80" s="8" t="s">
        <v>192</v>
      </c>
      <c r="D80" s="8" t="s">
        <v>72</v>
      </c>
      <c r="E80" s="8" t="s">
        <v>76</v>
      </c>
      <c r="F80" s="8" t="s">
        <v>595</v>
      </c>
      <c r="G80" s="11">
        <v>52000.0</v>
      </c>
      <c r="H80" s="11">
        <v>33800.0</v>
      </c>
      <c r="I80" s="12">
        <f t="shared" si="1"/>
        <v>0.35</v>
      </c>
      <c r="J80" s="14"/>
      <c r="K80" s="8" t="s">
        <v>439</v>
      </c>
      <c r="L80" s="14"/>
      <c r="M80" s="14"/>
      <c r="N80" s="14"/>
      <c r="O80" s="14"/>
      <c r="P80" s="14"/>
      <c r="Q80" s="14"/>
      <c r="R80" s="14"/>
      <c r="S80" s="14"/>
      <c r="T80" s="14"/>
      <c r="U80" s="8" t="s">
        <v>596</v>
      </c>
      <c r="V80" s="8" t="s">
        <v>589</v>
      </c>
      <c r="W80" s="8" t="s">
        <v>179</v>
      </c>
      <c r="X80" s="16">
        <f t="shared" si="2"/>
        <v>0.3</v>
      </c>
      <c r="Y80" s="15" t="str">
        <f t="shared" si="3"/>
        <v>no</v>
      </c>
      <c r="Z80" s="8" t="s">
        <v>331</v>
      </c>
      <c r="AA80" s="8" t="s">
        <v>597</v>
      </c>
    </row>
    <row r="81" ht="15.75" customHeight="1">
      <c r="A81" s="8" t="s">
        <v>598</v>
      </c>
      <c r="B81" s="9" t="s">
        <v>599</v>
      </c>
      <c r="C81" s="8" t="s">
        <v>192</v>
      </c>
      <c r="D81" s="8" t="s">
        <v>72</v>
      </c>
      <c r="E81" s="8" t="s">
        <v>76</v>
      </c>
      <c r="F81" s="8" t="s">
        <v>600</v>
      </c>
      <c r="G81" s="11">
        <v>100000.0</v>
      </c>
      <c r="H81" s="11">
        <v>65000.0</v>
      </c>
      <c r="I81" s="12">
        <f t="shared" si="1"/>
        <v>0.35</v>
      </c>
      <c r="J81" s="14">
        <v>1.0</v>
      </c>
      <c r="K81" s="8" t="s">
        <v>85</v>
      </c>
      <c r="L81" s="14"/>
      <c r="M81" s="14"/>
      <c r="N81" s="14"/>
      <c r="O81" s="14"/>
      <c r="P81" s="14"/>
      <c r="Q81" s="14"/>
      <c r="R81" s="14"/>
      <c r="S81" s="14"/>
      <c r="T81" s="14"/>
      <c r="U81" s="8" t="s">
        <v>601</v>
      </c>
      <c r="V81" s="8" t="s">
        <v>155</v>
      </c>
      <c r="W81" s="8" t="s">
        <v>155</v>
      </c>
      <c r="X81" s="16">
        <f t="shared" si="2"/>
        <v>0.4</v>
      </c>
      <c r="Y81" s="15" t="str">
        <f t="shared" si="3"/>
        <v>no</v>
      </c>
      <c r="Z81" s="8" t="s">
        <v>114</v>
      </c>
      <c r="AA81" s="8"/>
    </row>
    <row r="82" ht="15.75" customHeight="1">
      <c r="A82" s="8" t="s">
        <v>602</v>
      </c>
      <c r="B82" s="9" t="s">
        <v>603</v>
      </c>
      <c r="C82" s="8" t="s">
        <v>192</v>
      </c>
      <c r="D82" s="8" t="s">
        <v>72</v>
      </c>
      <c r="E82" s="8" t="s">
        <v>76</v>
      </c>
      <c r="F82" s="8" t="s">
        <v>604</v>
      </c>
      <c r="G82" s="11">
        <v>52000.0</v>
      </c>
      <c r="H82" s="11">
        <v>33800.0</v>
      </c>
      <c r="I82" s="12">
        <f t="shared" si="1"/>
        <v>0.35</v>
      </c>
      <c r="J82" s="14">
        <v>1.0</v>
      </c>
      <c r="K82" s="8" t="s">
        <v>85</v>
      </c>
      <c r="L82" s="14"/>
      <c r="M82" s="14"/>
      <c r="N82" s="14"/>
      <c r="O82" s="14"/>
      <c r="P82" s="14"/>
      <c r="Q82" s="14"/>
      <c r="R82" s="14"/>
      <c r="S82" s="14"/>
      <c r="T82" s="14"/>
      <c r="U82" s="8" t="s">
        <v>605</v>
      </c>
      <c r="V82" s="8" t="s">
        <v>329</v>
      </c>
      <c r="W82" s="8" t="s">
        <v>155</v>
      </c>
      <c r="X82" s="16">
        <f t="shared" si="2"/>
        <v>0.4</v>
      </c>
      <c r="Y82" s="15" t="str">
        <f t="shared" si="3"/>
        <v>no</v>
      </c>
      <c r="Z82" s="8" t="s">
        <v>114</v>
      </c>
      <c r="AA82" s="8"/>
    </row>
    <row r="83" ht="15.75" customHeight="1">
      <c r="A83" s="8" t="s">
        <v>606</v>
      </c>
      <c r="B83" s="9" t="s">
        <v>607</v>
      </c>
      <c r="C83" s="8" t="s">
        <v>192</v>
      </c>
      <c r="D83" s="8" t="s">
        <v>72</v>
      </c>
      <c r="E83" s="8" t="s">
        <v>76</v>
      </c>
      <c r="F83" s="8" t="s">
        <v>608</v>
      </c>
      <c r="G83" s="11">
        <v>74000.0</v>
      </c>
      <c r="H83" s="11">
        <v>48100.0</v>
      </c>
      <c r="I83" s="12">
        <f t="shared" si="1"/>
        <v>0.35</v>
      </c>
      <c r="J83" s="14">
        <v>2.0</v>
      </c>
      <c r="K83" s="8" t="s">
        <v>175</v>
      </c>
      <c r="L83" s="14"/>
      <c r="M83" s="14"/>
      <c r="N83" s="14"/>
      <c r="O83" s="14"/>
      <c r="P83" s="14"/>
      <c r="Q83" s="14"/>
      <c r="R83" s="14"/>
      <c r="S83" s="14"/>
      <c r="T83" s="14"/>
      <c r="U83" s="8" t="s">
        <v>609</v>
      </c>
      <c r="V83" s="8" t="s">
        <v>610</v>
      </c>
      <c r="W83" s="8" t="s">
        <v>179</v>
      </c>
      <c r="X83" s="16">
        <f t="shared" si="2"/>
        <v>0.4</v>
      </c>
      <c r="Y83" s="15" t="str">
        <f t="shared" si="3"/>
        <v>no</v>
      </c>
      <c r="Z83" s="8" t="s">
        <v>114</v>
      </c>
      <c r="AA83" s="8" t="s">
        <v>611</v>
      </c>
    </row>
    <row r="84" ht="15.75" customHeight="1">
      <c r="A84" s="8" t="s">
        <v>612</v>
      </c>
      <c r="B84" s="9" t="s">
        <v>613</v>
      </c>
      <c r="C84" s="8" t="s">
        <v>192</v>
      </c>
      <c r="D84" s="8" t="s">
        <v>72</v>
      </c>
      <c r="E84" s="8" t="s">
        <v>76</v>
      </c>
      <c r="F84" s="8" t="s">
        <v>614</v>
      </c>
      <c r="G84" s="11">
        <v>50000.0</v>
      </c>
      <c r="H84" s="11">
        <v>32500.0</v>
      </c>
      <c r="I84" s="12">
        <f t="shared" si="1"/>
        <v>0.35</v>
      </c>
      <c r="J84" s="14">
        <v>4.0</v>
      </c>
      <c r="K84" s="8" t="s">
        <v>402</v>
      </c>
      <c r="L84" s="14"/>
      <c r="M84" s="14"/>
      <c r="N84" s="14"/>
      <c r="O84" s="14"/>
      <c r="P84" s="14"/>
      <c r="Q84" s="14"/>
      <c r="R84" s="14"/>
      <c r="S84" s="14"/>
      <c r="T84" s="14"/>
      <c r="U84" s="8" t="s">
        <v>615</v>
      </c>
      <c r="V84" s="8" t="s">
        <v>616</v>
      </c>
      <c r="W84" s="8" t="s">
        <v>179</v>
      </c>
      <c r="X84" s="16">
        <f t="shared" si="2"/>
        <v>0.4</v>
      </c>
      <c r="Y84" s="15" t="str">
        <f t="shared" si="3"/>
        <v>no</v>
      </c>
      <c r="Z84" s="8" t="s">
        <v>114</v>
      </c>
      <c r="AA84" s="8"/>
    </row>
    <row r="85" ht="15.75" customHeight="1">
      <c r="A85" s="8" t="s">
        <v>617</v>
      </c>
      <c r="B85" s="9" t="s">
        <v>618</v>
      </c>
      <c r="C85" s="8" t="s">
        <v>192</v>
      </c>
      <c r="D85" s="8" t="s">
        <v>72</v>
      </c>
      <c r="E85" s="8" t="s">
        <v>76</v>
      </c>
      <c r="F85" s="8" t="s">
        <v>619</v>
      </c>
      <c r="G85" s="11">
        <v>113000.0</v>
      </c>
      <c r="H85" s="11">
        <v>73450.0</v>
      </c>
      <c r="I85" s="12">
        <f t="shared" si="1"/>
        <v>0.35</v>
      </c>
      <c r="J85" s="14"/>
      <c r="K85" s="8" t="s">
        <v>85</v>
      </c>
      <c r="L85" s="14"/>
      <c r="M85" s="14"/>
      <c r="N85" s="14"/>
      <c r="O85" s="14"/>
      <c r="P85" s="14"/>
      <c r="Q85" s="14"/>
      <c r="R85" s="14"/>
      <c r="S85" s="14"/>
      <c r="T85" s="14"/>
      <c r="U85" s="8" t="s">
        <v>620</v>
      </c>
      <c r="V85" s="8" t="s">
        <v>329</v>
      </c>
      <c r="W85" s="8" t="s">
        <v>155</v>
      </c>
      <c r="X85" s="16">
        <f t="shared" si="2"/>
        <v>0.3</v>
      </c>
      <c r="Y85" s="15" t="str">
        <f t="shared" si="3"/>
        <v>no</v>
      </c>
      <c r="Z85" s="8" t="s">
        <v>114</v>
      </c>
      <c r="AA85" s="8"/>
    </row>
    <row r="86" ht="15.75" customHeight="1">
      <c r="A86" s="8" t="s">
        <v>621</v>
      </c>
      <c r="B86" s="9" t="s">
        <v>622</v>
      </c>
      <c r="C86" s="8" t="s">
        <v>192</v>
      </c>
      <c r="D86" s="8" t="s">
        <v>72</v>
      </c>
      <c r="E86" s="8" t="s">
        <v>76</v>
      </c>
      <c r="F86" s="8" t="s">
        <v>623</v>
      </c>
      <c r="G86" s="11">
        <v>74000.0</v>
      </c>
      <c r="H86" s="11">
        <v>48100.0</v>
      </c>
      <c r="I86" s="12">
        <f t="shared" si="1"/>
        <v>0.35</v>
      </c>
      <c r="J86" s="14">
        <v>2.0</v>
      </c>
      <c r="K86" s="8" t="s">
        <v>175</v>
      </c>
      <c r="L86" s="14"/>
      <c r="M86" s="14"/>
      <c r="N86" s="14"/>
      <c r="O86" s="14"/>
      <c r="P86" s="14"/>
      <c r="Q86" s="14"/>
      <c r="R86" s="14"/>
      <c r="S86" s="14"/>
      <c r="T86" s="14"/>
      <c r="U86" s="8" t="s">
        <v>624</v>
      </c>
      <c r="V86" s="8" t="s">
        <v>625</v>
      </c>
      <c r="W86" s="8" t="s">
        <v>179</v>
      </c>
      <c r="X86" s="16">
        <f t="shared" si="2"/>
        <v>0.4</v>
      </c>
      <c r="Y86" s="15" t="str">
        <f t="shared" si="3"/>
        <v>no</v>
      </c>
      <c r="Z86" s="8" t="s">
        <v>114</v>
      </c>
      <c r="AA86" s="8"/>
    </row>
    <row r="87" ht="15.75" customHeight="1">
      <c r="A87" s="8" t="s">
        <v>626</v>
      </c>
      <c r="B87" s="9" t="s">
        <v>627</v>
      </c>
      <c r="C87" s="8" t="s">
        <v>192</v>
      </c>
      <c r="D87" s="8" t="s">
        <v>72</v>
      </c>
      <c r="E87" s="8" t="s">
        <v>76</v>
      </c>
      <c r="F87" s="8" t="s">
        <v>628</v>
      </c>
      <c r="G87" s="11">
        <v>135000.0</v>
      </c>
      <c r="H87" s="11">
        <v>87750.0</v>
      </c>
      <c r="I87" s="12">
        <f t="shared" si="1"/>
        <v>0.35</v>
      </c>
      <c r="J87" s="14">
        <v>3.0</v>
      </c>
      <c r="K87" s="8" t="s">
        <v>439</v>
      </c>
      <c r="L87" s="14"/>
      <c r="M87" s="14"/>
      <c r="N87" s="14"/>
      <c r="O87" s="14"/>
      <c r="P87" s="14"/>
      <c r="Q87" s="14"/>
      <c r="R87" s="14"/>
      <c r="S87" s="14"/>
      <c r="T87" s="14"/>
      <c r="U87" s="8" t="s">
        <v>629</v>
      </c>
      <c r="V87" s="8" t="s">
        <v>589</v>
      </c>
      <c r="W87" s="8" t="s">
        <v>179</v>
      </c>
      <c r="X87" s="16">
        <f t="shared" si="2"/>
        <v>0.4</v>
      </c>
      <c r="Y87" s="15" t="str">
        <f t="shared" si="3"/>
        <v>no</v>
      </c>
      <c r="Z87" s="8" t="s">
        <v>114</v>
      </c>
      <c r="AA87" s="8"/>
    </row>
    <row r="88" ht="15.75" customHeight="1">
      <c r="A88" s="8" t="s">
        <v>630</v>
      </c>
      <c r="B88" s="9" t="s">
        <v>631</v>
      </c>
      <c r="C88" s="8" t="s">
        <v>192</v>
      </c>
      <c r="D88" s="8" t="s">
        <v>72</v>
      </c>
      <c r="E88" s="8" t="s">
        <v>76</v>
      </c>
      <c r="F88" s="8" t="s">
        <v>632</v>
      </c>
      <c r="G88" s="11">
        <v>35000.0</v>
      </c>
      <c r="H88" s="11">
        <v>22750.0</v>
      </c>
      <c r="I88" s="12">
        <f t="shared" si="1"/>
        <v>0.35</v>
      </c>
      <c r="J88" s="14">
        <v>2.0</v>
      </c>
      <c r="K88" s="8" t="s">
        <v>175</v>
      </c>
      <c r="L88" s="14"/>
      <c r="M88" s="14"/>
      <c r="N88" s="14"/>
      <c r="O88" s="14"/>
      <c r="P88" s="14"/>
      <c r="Q88" s="14"/>
      <c r="R88" s="14"/>
      <c r="S88" s="14"/>
      <c r="T88" s="14"/>
      <c r="U88" s="8" t="s">
        <v>633</v>
      </c>
      <c r="V88" s="8" t="s">
        <v>155</v>
      </c>
      <c r="W88" s="8" t="s">
        <v>155</v>
      </c>
      <c r="X88" s="16">
        <f t="shared" si="2"/>
        <v>0.4</v>
      </c>
      <c r="Y88" s="15" t="str">
        <f t="shared" si="3"/>
        <v>no</v>
      </c>
      <c r="Z88" s="8" t="s">
        <v>114</v>
      </c>
      <c r="AA88" s="8"/>
    </row>
    <row r="89" ht="15.75" customHeight="1">
      <c r="A89" s="8" t="s">
        <v>634</v>
      </c>
      <c r="B89" s="9" t="s">
        <v>635</v>
      </c>
      <c r="C89" s="8" t="s">
        <v>192</v>
      </c>
      <c r="D89" s="8" t="s">
        <v>72</v>
      </c>
      <c r="E89" s="8" t="s">
        <v>76</v>
      </c>
      <c r="F89" s="8" t="s">
        <v>636</v>
      </c>
      <c r="G89" s="11">
        <v>21000.0</v>
      </c>
      <c r="H89" s="11">
        <v>13650.0</v>
      </c>
      <c r="I89" s="12">
        <f t="shared" si="1"/>
        <v>0.35</v>
      </c>
      <c r="J89" s="14">
        <v>1.0</v>
      </c>
      <c r="K89" s="8" t="s">
        <v>85</v>
      </c>
      <c r="L89" s="14"/>
      <c r="M89" s="14"/>
      <c r="N89" s="14"/>
      <c r="O89" s="14"/>
      <c r="P89" s="14"/>
      <c r="Q89" s="14"/>
      <c r="R89" s="14"/>
      <c r="S89" s="14"/>
      <c r="T89" s="14"/>
      <c r="U89" s="8" t="s">
        <v>637</v>
      </c>
      <c r="V89" s="8" t="s">
        <v>638</v>
      </c>
      <c r="W89" s="8" t="s">
        <v>253</v>
      </c>
      <c r="X89" s="16">
        <f t="shared" si="2"/>
        <v>0.4</v>
      </c>
      <c r="Y89" s="15" t="str">
        <f t="shared" si="3"/>
        <v>no</v>
      </c>
      <c r="Z89" s="8" t="s">
        <v>114</v>
      </c>
      <c r="AA89" s="8"/>
    </row>
    <row r="90" ht="15.75" customHeight="1">
      <c r="A90" s="8" t="s">
        <v>639</v>
      </c>
      <c r="B90" s="9" t="s">
        <v>640</v>
      </c>
      <c r="C90" s="8" t="s">
        <v>192</v>
      </c>
      <c r="D90" s="8" t="s">
        <v>72</v>
      </c>
      <c r="E90" s="8" t="s">
        <v>76</v>
      </c>
      <c r="F90" s="8" t="s">
        <v>641</v>
      </c>
      <c r="G90" s="11">
        <v>75000.0</v>
      </c>
      <c r="H90" s="11">
        <v>48750.0</v>
      </c>
      <c r="I90" s="12">
        <f t="shared" si="1"/>
        <v>0.35</v>
      </c>
      <c r="J90" s="14">
        <v>1.0</v>
      </c>
      <c r="K90" s="8" t="s">
        <v>85</v>
      </c>
      <c r="L90" s="14"/>
      <c r="M90" s="14"/>
      <c r="N90" s="14"/>
      <c r="O90" s="14"/>
      <c r="P90" s="14"/>
      <c r="Q90" s="14"/>
      <c r="R90" s="14"/>
      <c r="S90" s="14"/>
      <c r="T90" s="14"/>
      <c r="U90" s="8" t="s">
        <v>642</v>
      </c>
      <c r="V90" s="8" t="s">
        <v>329</v>
      </c>
      <c r="W90" s="8" t="s">
        <v>155</v>
      </c>
      <c r="X90" s="16">
        <f t="shared" si="2"/>
        <v>0.4</v>
      </c>
      <c r="Y90" s="15" t="str">
        <f t="shared" si="3"/>
        <v>no</v>
      </c>
      <c r="Z90" s="8" t="s">
        <v>114</v>
      </c>
      <c r="AA90" s="8"/>
    </row>
    <row r="91" ht="15.75" customHeight="1">
      <c r="A91" s="8" t="s">
        <v>643</v>
      </c>
      <c r="B91" s="9" t="s">
        <v>644</v>
      </c>
      <c r="C91" s="8" t="s">
        <v>192</v>
      </c>
      <c r="D91" s="8" t="s">
        <v>72</v>
      </c>
      <c r="E91" s="8" t="s">
        <v>76</v>
      </c>
      <c r="F91" s="8" t="s">
        <v>645</v>
      </c>
      <c r="G91" s="11">
        <v>65000.0</v>
      </c>
      <c r="H91" s="11">
        <v>42250.0</v>
      </c>
      <c r="I91" s="12">
        <f t="shared" si="1"/>
        <v>0.35</v>
      </c>
      <c r="J91" s="14">
        <v>1.0</v>
      </c>
      <c r="K91" s="8" t="s">
        <v>85</v>
      </c>
      <c r="L91" s="14"/>
      <c r="M91" s="14"/>
      <c r="N91" s="14"/>
      <c r="O91" s="14"/>
      <c r="P91" s="14"/>
      <c r="Q91" s="14"/>
      <c r="R91" s="14"/>
      <c r="S91" s="14"/>
      <c r="T91" s="14"/>
      <c r="U91" s="8" t="s">
        <v>646</v>
      </c>
      <c r="V91" s="8" t="s">
        <v>155</v>
      </c>
      <c r="W91" s="8" t="s">
        <v>155</v>
      </c>
      <c r="X91" s="16">
        <f t="shared" si="2"/>
        <v>0.4</v>
      </c>
      <c r="Y91" s="15" t="str">
        <f t="shared" si="3"/>
        <v>no</v>
      </c>
      <c r="Z91" s="8" t="s">
        <v>114</v>
      </c>
      <c r="AA91" s="8"/>
    </row>
    <row r="92" ht="15.75" customHeight="1">
      <c r="A92" s="8" t="s">
        <v>647</v>
      </c>
      <c r="B92" s="9" t="s">
        <v>293</v>
      </c>
      <c r="C92" s="8" t="s">
        <v>192</v>
      </c>
      <c r="D92" s="8" t="s">
        <v>72</v>
      </c>
      <c r="E92" s="8" t="s">
        <v>76</v>
      </c>
      <c r="F92" s="8" t="s">
        <v>648</v>
      </c>
      <c r="G92" s="11">
        <v>40000.0</v>
      </c>
      <c r="H92" s="11">
        <v>26000.0</v>
      </c>
      <c r="I92" s="12">
        <f t="shared" si="1"/>
        <v>0.35</v>
      </c>
      <c r="J92" s="14"/>
      <c r="K92" s="8" t="s">
        <v>175</v>
      </c>
      <c r="L92" s="14"/>
      <c r="M92" s="14"/>
      <c r="N92" s="14"/>
      <c r="O92" s="14"/>
      <c r="P92" s="14"/>
      <c r="Q92" s="14"/>
      <c r="R92" s="14"/>
      <c r="S92" s="14"/>
      <c r="T92" s="14"/>
      <c r="U92" s="8" t="s">
        <v>649</v>
      </c>
      <c r="V92" s="8" t="s">
        <v>571</v>
      </c>
      <c r="W92" s="8" t="s">
        <v>155</v>
      </c>
      <c r="X92" s="16">
        <f t="shared" si="2"/>
        <v>0.3</v>
      </c>
      <c r="Y92" s="15" t="str">
        <f t="shared" si="3"/>
        <v>no</v>
      </c>
      <c r="Z92" s="8" t="s">
        <v>331</v>
      </c>
      <c r="AA92" s="8" t="s">
        <v>650</v>
      </c>
    </row>
    <row r="93" ht="15.75" customHeight="1">
      <c r="A93" s="8" t="s">
        <v>651</v>
      </c>
      <c r="B93" s="9" t="s">
        <v>652</v>
      </c>
      <c r="C93" s="8" t="s">
        <v>192</v>
      </c>
      <c r="D93" s="8" t="s">
        <v>72</v>
      </c>
      <c r="E93" s="8" t="s">
        <v>76</v>
      </c>
      <c r="F93" s="8" t="s">
        <v>653</v>
      </c>
      <c r="G93" s="11">
        <v>77000.0</v>
      </c>
      <c r="H93" s="11">
        <v>50050.0</v>
      </c>
      <c r="I93" s="12">
        <f t="shared" si="1"/>
        <v>0.35</v>
      </c>
      <c r="J93" s="14">
        <v>3.0</v>
      </c>
      <c r="K93" s="8" t="s">
        <v>439</v>
      </c>
      <c r="L93" s="14"/>
      <c r="M93" s="14"/>
      <c r="N93" s="14"/>
      <c r="O93" s="14"/>
      <c r="P93" s="14"/>
      <c r="Q93" s="14"/>
      <c r="R93" s="14"/>
      <c r="S93" s="14"/>
      <c r="T93" s="14"/>
      <c r="U93" s="8" t="s">
        <v>654</v>
      </c>
      <c r="V93" s="8" t="s">
        <v>153</v>
      </c>
      <c r="W93" s="8" t="s">
        <v>155</v>
      </c>
      <c r="X93" s="16">
        <f t="shared" si="2"/>
        <v>0.4</v>
      </c>
      <c r="Y93" s="15" t="str">
        <f t="shared" si="3"/>
        <v>no</v>
      </c>
      <c r="Z93" s="8" t="s">
        <v>114</v>
      </c>
      <c r="AA93" s="8"/>
    </row>
    <row r="94" ht="15.75" customHeight="1">
      <c r="A94" s="8" t="s">
        <v>655</v>
      </c>
      <c r="B94" s="9" t="s">
        <v>656</v>
      </c>
      <c r="C94" s="8" t="s">
        <v>192</v>
      </c>
      <c r="D94" s="8" t="s">
        <v>72</v>
      </c>
      <c r="E94" s="8" t="s">
        <v>76</v>
      </c>
      <c r="F94" s="8" t="s">
        <v>657</v>
      </c>
      <c r="G94" s="11">
        <v>93000.0</v>
      </c>
      <c r="H94" s="11">
        <v>60450.0</v>
      </c>
      <c r="I94" s="12">
        <f t="shared" si="1"/>
        <v>0.35</v>
      </c>
      <c r="J94" s="14">
        <v>1.0</v>
      </c>
      <c r="K94" s="8" t="s">
        <v>85</v>
      </c>
      <c r="L94" s="14"/>
      <c r="M94" s="14"/>
      <c r="N94" s="14"/>
      <c r="O94" s="14"/>
      <c r="P94" s="14"/>
      <c r="Q94" s="14"/>
      <c r="R94" s="14"/>
      <c r="S94" s="14"/>
      <c r="T94" s="14"/>
      <c r="U94" s="8" t="s">
        <v>658</v>
      </c>
      <c r="V94" s="8"/>
      <c r="W94" s="8" t="s">
        <v>130</v>
      </c>
      <c r="X94" s="16">
        <f t="shared" si="2"/>
        <v>0.4</v>
      </c>
      <c r="Y94" s="15" t="str">
        <f t="shared" si="3"/>
        <v>no</v>
      </c>
      <c r="Z94" s="8" t="s">
        <v>114</v>
      </c>
      <c r="AA94" s="8"/>
    </row>
    <row r="95" ht="15.75" customHeight="1">
      <c r="A95" s="8" t="s">
        <v>659</v>
      </c>
      <c r="B95" s="9" t="s">
        <v>660</v>
      </c>
      <c r="C95" s="8" t="s">
        <v>192</v>
      </c>
      <c r="D95" s="8" t="s">
        <v>72</v>
      </c>
      <c r="E95" s="8" t="s">
        <v>76</v>
      </c>
      <c r="F95" s="8" t="s">
        <v>661</v>
      </c>
      <c r="G95" s="11">
        <v>65000.0</v>
      </c>
      <c r="H95" s="11">
        <v>42250.0</v>
      </c>
      <c r="I95" s="12">
        <f t="shared" si="1"/>
        <v>0.35</v>
      </c>
      <c r="J95" s="14">
        <v>3.0</v>
      </c>
      <c r="K95" s="8" t="s">
        <v>439</v>
      </c>
      <c r="L95" s="14"/>
      <c r="M95" s="14"/>
      <c r="N95" s="14"/>
      <c r="O95" s="14"/>
      <c r="P95" s="14"/>
      <c r="Q95" s="14"/>
      <c r="R95" s="14"/>
      <c r="S95" s="14"/>
      <c r="T95" s="14"/>
      <c r="U95" s="8" t="s">
        <v>662</v>
      </c>
      <c r="V95" s="8" t="s">
        <v>663</v>
      </c>
      <c r="W95" s="8" t="s">
        <v>179</v>
      </c>
      <c r="X95" s="16">
        <f t="shared" si="2"/>
        <v>0.4</v>
      </c>
      <c r="Y95" s="15" t="str">
        <f t="shared" si="3"/>
        <v>no</v>
      </c>
      <c r="Z95" s="8" t="s">
        <v>114</v>
      </c>
      <c r="AA95" s="8"/>
    </row>
    <row r="96" ht="15.75" customHeight="1">
      <c r="A96" s="22" t="s">
        <v>664</v>
      </c>
      <c r="B96" s="23" t="s">
        <v>665</v>
      </c>
      <c r="C96" s="22" t="s">
        <v>192</v>
      </c>
      <c r="D96" s="22" t="s">
        <v>72</v>
      </c>
      <c r="E96" s="22" t="s">
        <v>76</v>
      </c>
      <c r="F96" s="22"/>
      <c r="G96" s="11">
        <v>35000.0</v>
      </c>
      <c r="H96" s="11"/>
      <c r="I96" s="12">
        <f t="shared" si="1"/>
        <v>1</v>
      </c>
      <c r="J96" s="14">
        <v>1.0</v>
      </c>
      <c r="K96" s="8"/>
      <c r="L96" s="14"/>
      <c r="M96" s="14"/>
      <c r="N96" s="14"/>
      <c r="O96" s="14"/>
      <c r="P96" s="14"/>
      <c r="Q96" s="14"/>
      <c r="R96" s="14"/>
      <c r="S96" s="14"/>
      <c r="T96" s="14"/>
      <c r="U96" s="8" t="s">
        <v>666</v>
      </c>
      <c r="V96" s="8"/>
      <c r="W96" s="8"/>
      <c r="X96" s="16">
        <f t="shared" si="2"/>
        <v>0.4</v>
      </c>
      <c r="Y96" s="15" t="str">
        <f t="shared" si="3"/>
        <v>no</v>
      </c>
      <c r="Z96" s="8" t="s">
        <v>499</v>
      </c>
      <c r="AA96" s="8" t="s">
        <v>667</v>
      </c>
    </row>
    <row r="97" ht="15.75" customHeight="1">
      <c r="A97" s="8" t="s">
        <v>668</v>
      </c>
      <c r="B97" s="9" t="s">
        <v>669</v>
      </c>
      <c r="C97" s="8" t="s">
        <v>128</v>
      </c>
      <c r="D97" s="8" t="s">
        <v>134</v>
      </c>
      <c r="E97" s="8" t="s">
        <v>94</v>
      </c>
      <c r="F97" s="8" t="s">
        <v>670</v>
      </c>
      <c r="G97" s="11">
        <v>3146000.0</v>
      </c>
      <c r="H97" s="11">
        <v>2000000.0</v>
      </c>
      <c r="I97" s="12">
        <f t="shared" si="1"/>
        <v>0.3642720915</v>
      </c>
      <c r="J97" s="14">
        <v>1.0</v>
      </c>
      <c r="K97" s="8" t="s">
        <v>85</v>
      </c>
      <c r="L97" s="14">
        <v>50.0</v>
      </c>
      <c r="M97" s="14">
        <v>155.0</v>
      </c>
      <c r="N97" s="14">
        <v>55.0</v>
      </c>
      <c r="O97" s="14"/>
      <c r="P97" s="14"/>
      <c r="Q97" s="14"/>
      <c r="R97" s="14"/>
      <c r="S97" s="14"/>
      <c r="T97" s="14"/>
      <c r="U97" s="8" t="s">
        <v>671</v>
      </c>
      <c r="V97" s="8" t="s">
        <v>153</v>
      </c>
      <c r="W97" s="8" t="s">
        <v>155</v>
      </c>
      <c r="X97" s="16">
        <f t="shared" si="2"/>
        <v>0.5</v>
      </c>
      <c r="Y97" s="15" t="str">
        <f t="shared" si="3"/>
        <v>no</v>
      </c>
      <c r="Z97" s="8" t="s">
        <v>114</v>
      </c>
      <c r="AA97" s="8"/>
    </row>
    <row r="98" ht="15.75" customHeight="1">
      <c r="A98" s="8" t="s">
        <v>672</v>
      </c>
      <c r="B98" s="9" t="s">
        <v>673</v>
      </c>
      <c r="C98" s="8" t="s">
        <v>128</v>
      </c>
      <c r="D98" s="8" t="s">
        <v>125</v>
      </c>
      <c r="E98" s="8" t="s">
        <v>94</v>
      </c>
      <c r="F98" s="8" t="s">
        <v>674</v>
      </c>
      <c r="G98" s="11">
        <v>742456.0</v>
      </c>
      <c r="H98" s="11">
        <v>472000.0</v>
      </c>
      <c r="I98" s="12">
        <f t="shared" si="1"/>
        <v>0.3642720915</v>
      </c>
      <c r="J98" s="14"/>
      <c r="K98" s="8" t="s">
        <v>85</v>
      </c>
      <c r="L98" s="14"/>
      <c r="M98" s="14"/>
      <c r="N98" s="14"/>
      <c r="O98" s="14"/>
      <c r="P98" s="14"/>
      <c r="Q98" s="14"/>
      <c r="R98" s="14"/>
      <c r="S98" s="14"/>
      <c r="T98" s="14"/>
      <c r="U98" s="8" t="s">
        <v>675</v>
      </c>
      <c r="V98" s="8" t="s">
        <v>153</v>
      </c>
      <c r="W98" s="8" t="s">
        <v>155</v>
      </c>
      <c r="X98" s="16">
        <f t="shared" si="2"/>
        <v>0.3</v>
      </c>
      <c r="Y98" s="15" t="str">
        <f t="shared" si="3"/>
        <v>no</v>
      </c>
      <c r="Z98" s="8" t="s">
        <v>114</v>
      </c>
      <c r="AA98" s="8"/>
    </row>
    <row r="99" ht="15.75" customHeight="1">
      <c r="A99" s="8" t="s">
        <v>676</v>
      </c>
      <c r="B99" s="9" t="s">
        <v>677</v>
      </c>
      <c r="C99" s="8" t="s">
        <v>128</v>
      </c>
      <c r="D99" s="8" t="s">
        <v>150</v>
      </c>
      <c r="E99" s="8" t="s">
        <v>94</v>
      </c>
      <c r="F99" s="8" t="s">
        <v>678</v>
      </c>
      <c r="G99" s="11">
        <v>944.0</v>
      </c>
      <c r="H99" s="11">
        <v>600.0</v>
      </c>
      <c r="I99" s="12">
        <f t="shared" si="1"/>
        <v>0.3644067797</v>
      </c>
      <c r="J99" s="14"/>
      <c r="K99" s="8" t="s">
        <v>175</v>
      </c>
      <c r="L99" s="14"/>
      <c r="M99" s="14"/>
      <c r="N99" s="14"/>
      <c r="O99" s="14"/>
      <c r="P99" s="14"/>
      <c r="Q99" s="14"/>
      <c r="R99" s="14"/>
      <c r="S99" s="14"/>
      <c r="T99" s="14"/>
      <c r="U99" s="8" t="s">
        <v>679</v>
      </c>
      <c r="V99" s="8" t="s">
        <v>329</v>
      </c>
      <c r="W99" s="8" t="s">
        <v>155</v>
      </c>
      <c r="X99" s="16">
        <f t="shared" si="2"/>
        <v>0.3</v>
      </c>
      <c r="Y99" s="15" t="str">
        <f t="shared" si="3"/>
        <v>no</v>
      </c>
      <c r="Z99" s="8" t="s">
        <v>114</v>
      </c>
      <c r="AA99" s="8"/>
    </row>
    <row r="100" ht="15.75" customHeight="1">
      <c r="A100" s="8" t="s">
        <v>680</v>
      </c>
      <c r="B100" s="9" t="s">
        <v>681</v>
      </c>
      <c r="C100" s="8" t="s">
        <v>128</v>
      </c>
      <c r="D100" s="8" t="s">
        <v>150</v>
      </c>
      <c r="E100" s="8" t="s">
        <v>94</v>
      </c>
      <c r="F100" s="8" t="s">
        <v>678</v>
      </c>
      <c r="G100" s="11">
        <v>1888.0</v>
      </c>
      <c r="H100" s="11">
        <v>1200.0</v>
      </c>
      <c r="I100" s="12">
        <f t="shared" si="1"/>
        <v>0.3644067797</v>
      </c>
      <c r="J100" s="14">
        <v>2.0</v>
      </c>
      <c r="K100" s="8" t="s">
        <v>175</v>
      </c>
      <c r="L100" s="14"/>
      <c r="M100" s="14"/>
      <c r="N100" s="14"/>
      <c r="O100" s="14"/>
      <c r="P100" s="14"/>
      <c r="Q100" s="14"/>
      <c r="R100" s="14"/>
      <c r="S100" s="14"/>
      <c r="T100" s="14"/>
      <c r="U100" s="8" t="s">
        <v>682</v>
      </c>
      <c r="V100" s="8" t="s">
        <v>329</v>
      </c>
      <c r="W100" s="8" t="s">
        <v>155</v>
      </c>
      <c r="X100" s="16">
        <f t="shared" si="2"/>
        <v>0.4</v>
      </c>
      <c r="Y100" s="15" t="str">
        <f t="shared" si="3"/>
        <v>no</v>
      </c>
      <c r="Z100" s="8" t="s">
        <v>114</v>
      </c>
      <c r="AA100" s="8" t="s">
        <v>683</v>
      </c>
    </row>
    <row r="101" ht="15.75" customHeight="1">
      <c r="A101" s="22" t="s">
        <v>684</v>
      </c>
      <c r="B101" s="23" t="s">
        <v>685</v>
      </c>
      <c r="C101" s="22" t="s">
        <v>128</v>
      </c>
      <c r="D101" s="22"/>
      <c r="E101" s="22" t="s">
        <v>76</v>
      </c>
      <c r="F101" s="22"/>
      <c r="G101" s="11">
        <v>346000.0</v>
      </c>
      <c r="H101" s="11"/>
      <c r="I101" s="12">
        <f t="shared" si="1"/>
        <v>1</v>
      </c>
      <c r="J101" s="14">
        <v>1.0</v>
      </c>
      <c r="K101" s="8"/>
      <c r="L101" s="14"/>
      <c r="M101" s="14"/>
      <c r="N101" s="14"/>
      <c r="O101" s="14"/>
      <c r="P101" s="14"/>
      <c r="Q101" s="14"/>
      <c r="R101" s="14"/>
      <c r="S101" s="14"/>
      <c r="T101" s="14"/>
      <c r="U101" s="8" t="s">
        <v>686</v>
      </c>
      <c r="V101" s="8"/>
      <c r="W101" s="8"/>
      <c r="X101" s="16">
        <f t="shared" si="2"/>
        <v>0.4</v>
      </c>
      <c r="Y101" s="15" t="str">
        <f t="shared" si="3"/>
        <v>no</v>
      </c>
      <c r="Z101" s="8" t="s">
        <v>499</v>
      </c>
      <c r="AA101" s="8" t="s">
        <v>687</v>
      </c>
    </row>
    <row r="102" ht="15.75" customHeight="1">
      <c r="A102" s="8" t="s">
        <v>688</v>
      </c>
      <c r="B102" s="9" t="s">
        <v>689</v>
      </c>
      <c r="C102" s="8" t="s">
        <v>128</v>
      </c>
      <c r="D102" s="8" t="s">
        <v>107</v>
      </c>
      <c r="E102" s="8" t="s">
        <v>76</v>
      </c>
      <c r="F102" s="8" t="s">
        <v>690</v>
      </c>
      <c r="G102" s="11">
        <v>181263.0</v>
      </c>
      <c r="H102" s="11">
        <v>61395.0</v>
      </c>
      <c r="I102" s="12">
        <f t="shared" si="1"/>
        <v>0.661293259</v>
      </c>
      <c r="J102" s="14"/>
      <c r="K102" s="8" t="s">
        <v>85</v>
      </c>
      <c r="L102" s="14">
        <v>25.0</v>
      </c>
      <c r="M102" s="14">
        <v>11.0</v>
      </c>
      <c r="N102" s="14"/>
      <c r="O102" s="14"/>
      <c r="P102" s="14"/>
      <c r="Q102" s="14"/>
      <c r="R102" s="14"/>
      <c r="S102" s="14"/>
      <c r="T102" s="14"/>
      <c r="U102" s="8" t="s">
        <v>691</v>
      </c>
      <c r="V102" s="8" t="s">
        <v>155</v>
      </c>
      <c r="W102" s="8" t="s">
        <v>155</v>
      </c>
      <c r="X102" s="16">
        <f t="shared" si="2"/>
        <v>0.4</v>
      </c>
      <c r="Y102" s="15" t="str">
        <f t="shared" si="3"/>
        <v>no</v>
      </c>
      <c r="Z102" s="8" t="s">
        <v>114</v>
      </c>
      <c r="AA102" s="8"/>
    </row>
    <row r="103" ht="15.75" customHeight="1">
      <c r="A103" s="8" t="s">
        <v>692</v>
      </c>
      <c r="B103" s="9" t="s">
        <v>693</v>
      </c>
      <c r="C103" s="8" t="s">
        <v>128</v>
      </c>
      <c r="D103" s="8" t="s">
        <v>107</v>
      </c>
      <c r="E103" s="8" t="s">
        <v>76</v>
      </c>
      <c r="F103" s="8" t="s">
        <v>694</v>
      </c>
      <c r="G103" s="11">
        <v>211473.0</v>
      </c>
      <c r="H103" s="11">
        <v>71628.0</v>
      </c>
      <c r="I103" s="12">
        <f t="shared" si="1"/>
        <v>0.6612900938</v>
      </c>
      <c r="J103" s="14"/>
      <c r="K103" s="8" t="s">
        <v>85</v>
      </c>
      <c r="L103" s="14">
        <v>30.0</v>
      </c>
      <c r="M103" s="14">
        <v>11.0</v>
      </c>
      <c r="N103" s="14"/>
      <c r="O103" s="14"/>
      <c r="P103" s="14"/>
      <c r="Q103" s="14"/>
      <c r="R103" s="14"/>
      <c r="S103" s="14"/>
      <c r="T103" s="14"/>
      <c r="U103" s="8" t="s">
        <v>695</v>
      </c>
      <c r="V103" s="8" t="s">
        <v>155</v>
      </c>
      <c r="W103" s="8" t="s">
        <v>155</v>
      </c>
      <c r="X103" s="16">
        <f t="shared" si="2"/>
        <v>0.4</v>
      </c>
      <c r="Y103" s="15" t="str">
        <f t="shared" si="3"/>
        <v>no</v>
      </c>
      <c r="Z103" s="8" t="s">
        <v>114</v>
      </c>
      <c r="AA103" s="8"/>
    </row>
    <row r="104" ht="15.75" customHeight="1">
      <c r="A104" s="8" t="s">
        <v>696</v>
      </c>
      <c r="B104" s="9" t="s">
        <v>697</v>
      </c>
      <c r="C104" s="8" t="s">
        <v>128</v>
      </c>
      <c r="D104" s="8" t="s">
        <v>156</v>
      </c>
      <c r="E104" s="8" t="s">
        <v>94</v>
      </c>
      <c r="F104" s="8" t="s">
        <v>698</v>
      </c>
      <c r="G104" s="11">
        <v>1900000.0</v>
      </c>
      <c r="H104" s="11">
        <v>1330000.0</v>
      </c>
      <c r="I104" s="12">
        <f t="shared" si="1"/>
        <v>0.3</v>
      </c>
      <c r="J104" s="14">
        <v>1.0</v>
      </c>
      <c r="K104" s="8" t="s">
        <v>85</v>
      </c>
      <c r="L104" s="14"/>
      <c r="M104" s="14"/>
      <c r="N104" s="14"/>
      <c r="O104" s="14"/>
      <c r="P104" s="14"/>
      <c r="Q104" s="14"/>
      <c r="R104" s="14"/>
      <c r="S104" s="14"/>
      <c r="T104" s="14"/>
      <c r="U104" s="8" t="s">
        <v>699</v>
      </c>
      <c r="V104" s="8" t="s">
        <v>155</v>
      </c>
      <c r="W104" s="8" t="s">
        <v>155</v>
      </c>
      <c r="X104" s="16">
        <f t="shared" si="2"/>
        <v>0.4</v>
      </c>
      <c r="Y104" s="15" t="str">
        <f t="shared" si="3"/>
        <v>no</v>
      </c>
      <c r="Z104" s="8" t="s">
        <v>114</v>
      </c>
      <c r="AA104" s="8"/>
    </row>
    <row r="105" ht="15.75" customHeight="1">
      <c r="A105" s="8" t="s">
        <v>700</v>
      </c>
      <c r="B105" s="9" t="s">
        <v>701</v>
      </c>
      <c r="C105" s="8" t="s">
        <v>128</v>
      </c>
      <c r="D105" s="8" t="s">
        <v>95</v>
      </c>
      <c r="E105" s="8" t="s">
        <v>76</v>
      </c>
      <c r="F105" s="8" t="s">
        <v>702</v>
      </c>
      <c r="G105" s="11">
        <v>206668.0</v>
      </c>
      <c r="H105" s="11">
        <v>70000.0</v>
      </c>
      <c r="I105" s="12">
        <f t="shared" si="1"/>
        <v>0.6612925078</v>
      </c>
      <c r="J105" s="14"/>
      <c r="K105" s="8" t="s">
        <v>703</v>
      </c>
      <c r="L105" s="14"/>
      <c r="M105" s="14"/>
      <c r="N105" s="14"/>
      <c r="O105" s="14"/>
      <c r="P105" s="14"/>
      <c r="Q105" s="14"/>
      <c r="R105" s="14"/>
      <c r="S105" s="14"/>
      <c r="T105" s="14"/>
      <c r="U105" s="8" t="s">
        <v>704</v>
      </c>
      <c r="V105" s="8" t="s">
        <v>506</v>
      </c>
      <c r="W105" s="8" t="s">
        <v>93</v>
      </c>
      <c r="X105" s="16">
        <f t="shared" si="2"/>
        <v>0.3</v>
      </c>
      <c r="Y105" s="15" t="str">
        <f t="shared" si="3"/>
        <v>no</v>
      </c>
      <c r="Z105" s="8" t="s">
        <v>114</v>
      </c>
      <c r="AA105" s="8" t="s">
        <v>705</v>
      </c>
    </row>
    <row r="106" ht="15.75" customHeight="1">
      <c r="A106" s="8" t="s">
        <v>706</v>
      </c>
      <c r="B106" s="9" t="s">
        <v>707</v>
      </c>
      <c r="C106" s="8" t="s">
        <v>128</v>
      </c>
      <c r="D106" s="8" t="s">
        <v>156</v>
      </c>
      <c r="E106" s="8" t="s">
        <v>94</v>
      </c>
      <c r="F106" s="8" t="s">
        <v>708</v>
      </c>
      <c r="G106" s="11">
        <v>1800000.0</v>
      </c>
      <c r="H106" s="11">
        <v>1260000.0</v>
      </c>
      <c r="I106" s="12">
        <f t="shared" si="1"/>
        <v>0.3</v>
      </c>
      <c r="J106" s="14">
        <v>1.0</v>
      </c>
      <c r="K106" s="8" t="s">
        <v>85</v>
      </c>
      <c r="L106" s="14"/>
      <c r="M106" s="14"/>
      <c r="N106" s="14"/>
      <c r="O106" s="14"/>
      <c r="P106" s="14"/>
      <c r="Q106" s="14"/>
      <c r="R106" s="14"/>
      <c r="S106" s="14"/>
      <c r="T106" s="14"/>
      <c r="U106" s="8" t="s">
        <v>709</v>
      </c>
      <c r="V106" s="8" t="s">
        <v>155</v>
      </c>
      <c r="W106" s="8" t="s">
        <v>155</v>
      </c>
      <c r="X106" s="16">
        <f t="shared" si="2"/>
        <v>0.4</v>
      </c>
      <c r="Y106" s="15" t="str">
        <f t="shared" si="3"/>
        <v>no</v>
      </c>
      <c r="Z106" s="8" t="s">
        <v>114</v>
      </c>
      <c r="AA106" s="8" t="s">
        <v>710</v>
      </c>
    </row>
    <row r="107" ht="15.75" customHeight="1">
      <c r="A107" s="8" t="s">
        <v>711</v>
      </c>
      <c r="B107" s="9" t="s">
        <v>712</v>
      </c>
      <c r="C107" s="8" t="s">
        <v>128</v>
      </c>
      <c r="D107" s="8" t="s">
        <v>90</v>
      </c>
      <c r="E107" s="8" t="s">
        <v>94</v>
      </c>
      <c r="F107" s="8" t="s">
        <v>713</v>
      </c>
      <c r="G107" s="11">
        <v>446.0</v>
      </c>
      <c r="H107" s="11">
        <v>379.0</v>
      </c>
      <c r="I107" s="12">
        <f t="shared" si="1"/>
        <v>0.1502242152</v>
      </c>
      <c r="J107" s="14"/>
      <c r="K107" s="8" t="s">
        <v>714</v>
      </c>
      <c r="L107" s="14"/>
      <c r="M107" s="14"/>
      <c r="N107" s="14"/>
      <c r="O107" s="14"/>
      <c r="P107" s="14"/>
      <c r="Q107" s="14"/>
      <c r="R107" s="14"/>
      <c r="S107" s="14"/>
      <c r="T107" s="14"/>
      <c r="U107" s="8" t="s">
        <v>715</v>
      </c>
      <c r="V107" s="8" t="s">
        <v>716</v>
      </c>
      <c r="W107" s="8" t="s">
        <v>467</v>
      </c>
      <c r="X107" s="16">
        <f t="shared" si="2"/>
        <v>0.3</v>
      </c>
      <c r="Y107" s="15" t="str">
        <f t="shared" si="3"/>
        <v>no</v>
      </c>
      <c r="Z107" s="8" t="s">
        <v>114</v>
      </c>
      <c r="AA107" s="8"/>
    </row>
    <row r="108" ht="15.75" customHeight="1">
      <c r="A108" s="8" t="s">
        <v>717</v>
      </c>
      <c r="B108" s="9" t="s">
        <v>287</v>
      </c>
      <c r="C108" s="8" t="s">
        <v>128</v>
      </c>
      <c r="D108" s="8" t="s">
        <v>197</v>
      </c>
      <c r="E108" s="8" t="s">
        <v>76</v>
      </c>
      <c r="F108" s="8" t="s">
        <v>718</v>
      </c>
      <c r="G108" s="11">
        <v>1342.0</v>
      </c>
      <c r="H108" s="11">
        <v>805.0</v>
      </c>
      <c r="I108" s="12">
        <f t="shared" si="1"/>
        <v>0.4001490313</v>
      </c>
      <c r="J108" s="14"/>
      <c r="K108" s="8" t="s">
        <v>85</v>
      </c>
      <c r="L108" s="14"/>
      <c r="M108" s="14"/>
      <c r="N108" s="14"/>
      <c r="O108" s="14"/>
      <c r="P108" s="14"/>
      <c r="Q108" s="14"/>
      <c r="R108" s="14"/>
      <c r="S108" s="14"/>
      <c r="T108" s="14"/>
      <c r="U108" s="8" t="s">
        <v>719</v>
      </c>
      <c r="V108" s="8" t="s">
        <v>155</v>
      </c>
      <c r="W108" s="8" t="s">
        <v>155</v>
      </c>
      <c r="X108" s="16">
        <f t="shared" si="2"/>
        <v>0.3</v>
      </c>
      <c r="Y108" s="15" t="str">
        <f t="shared" si="3"/>
        <v>no</v>
      </c>
      <c r="Z108" s="8" t="s">
        <v>331</v>
      </c>
      <c r="AA108" s="8" t="s">
        <v>720</v>
      </c>
    </row>
    <row r="109" ht="15.75" customHeight="1">
      <c r="A109" s="8" t="s">
        <v>721</v>
      </c>
      <c r="B109" s="9" t="s">
        <v>271</v>
      </c>
      <c r="C109" s="8" t="s">
        <v>128</v>
      </c>
      <c r="D109" s="8" t="s">
        <v>83</v>
      </c>
      <c r="E109" s="8" t="s">
        <v>76</v>
      </c>
      <c r="F109" s="8" t="s">
        <v>722</v>
      </c>
      <c r="G109" s="11">
        <v>2329444.0</v>
      </c>
      <c r="H109" s="11">
        <v>789000.0</v>
      </c>
      <c r="I109" s="12">
        <f t="shared" si="1"/>
        <v>0.661292566</v>
      </c>
      <c r="J109" s="14"/>
      <c r="K109" s="8" t="s">
        <v>85</v>
      </c>
      <c r="L109" s="14">
        <v>45.0</v>
      </c>
      <c r="M109" s="14">
        <v>100.0</v>
      </c>
      <c r="N109" s="14">
        <v>60.0</v>
      </c>
      <c r="O109" s="14"/>
      <c r="P109" s="14"/>
      <c r="Q109" s="14"/>
      <c r="R109" s="14"/>
      <c r="S109" s="14"/>
      <c r="T109" s="14"/>
      <c r="U109" s="8" t="s">
        <v>723</v>
      </c>
      <c r="V109" s="8"/>
      <c r="W109" s="8" t="s">
        <v>130</v>
      </c>
      <c r="X109" s="16">
        <f t="shared" si="2"/>
        <v>0.4</v>
      </c>
      <c r="Y109" s="15" t="str">
        <f t="shared" si="3"/>
        <v>no</v>
      </c>
      <c r="Z109" s="8" t="s">
        <v>331</v>
      </c>
      <c r="AA109" s="8" t="s">
        <v>724</v>
      </c>
    </row>
    <row r="110" ht="15.75" customHeight="1">
      <c r="A110" s="8" t="s">
        <v>725</v>
      </c>
      <c r="B110" s="9" t="s">
        <v>726</v>
      </c>
      <c r="C110" s="8" t="s">
        <v>128</v>
      </c>
      <c r="D110" s="8" t="s">
        <v>102</v>
      </c>
      <c r="E110" s="8" t="s">
        <v>94</v>
      </c>
      <c r="F110" s="8" t="s">
        <v>727</v>
      </c>
      <c r="G110" s="11">
        <v>1450.0</v>
      </c>
      <c r="H110" s="11">
        <v>1160.0</v>
      </c>
      <c r="I110" s="12">
        <f t="shared" si="1"/>
        <v>0.2</v>
      </c>
      <c r="J110" s="14">
        <v>1.0</v>
      </c>
      <c r="K110" s="8" t="s">
        <v>85</v>
      </c>
      <c r="L110" s="14">
        <v>45.0</v>
      </c>
      <c r="M110" s="14">
        <v>35.0</v>
      </c>
      <c r="N110" s="14"/>
      <c r="O110" s="14"/>
      <c r="P110" s="14"/>
      <c r="Q110" s="14"/>
      <c r="R110" s="14"/>
      <c r="S110" s="14"/>
      <c r="T110" s="14"/>
      <c r="U110" s="8" t="s">
        <v>728</v>
      </c>
      <c r="V110" s="8" t="s">
        <v>155</v>
      </c>
      <c r="W110" s="8" t="s">
        <v>155</v>
      </c>
      <c r="X110" s="16">
        <f t="shared" si="2"/>
        <v>0.5</v>
      </c>
      <c r="Y110" s="15" t="str">
        <f t="shared" si="3"/>
        <v>no</v>
      </c>
      <c r="Z110" s="8" t="s">
        <v>114</v>
      </c>
      <c r="AA110" s="8"/>
    </row>
    <row r="111" ht="15.75" customHeight="1">
      <c r="A111" s="8" t="s">
        <v>729</v>
      </c>
      <c r="B111" s="9" t="s">
        <v>730</v>
      </c>
      <c r="C111" s="8" t="s">
        <v>128</v>
      </c>
      <c r="D111" s="8" t="s">
        <v>106</v>
      </c>
      <c r="E111" s="8" t="s">
        <v>76</v>
      </c>
      <c r="F111" s="8" t="s">
        <v>731</v>
      </c>
      <c r="G111" s="11">
        <v>429000.0</v>
      </c>
      <c r="H111" s="11">
        <v>300300.0</v>
      </c>
      <c r="I111" s="12">
        <f t="shared" si="1"/>
        <v>0.3</v>
      </c>
      <c r="J111" s="14">
        <v>1.0</v>
      </c>
      <c r="K111" s="8" t="s">
        <v>85</v>
      </c>
      <c r="L111" s="14"/>
      <c r="M111" s="14"/>
      <c r="N111" s="14"/>
      <c r="O111" s="14"/>
      <c r="P111" s="14"/>
      <c r="Q111" s="14"/>
      <c r="R111" s="14"/>
      <c r="S111" s="14"/>
      <c r="T111" s="14"/>
      <c r="U111" s="8" t="s">
        <v>732</v>
      </c>
      <c r="V111" s="8" t="s">
        <v>153</v>
      </c>
      <c r="W111" s="8" t="s">
        <v>155</v>
      </c>
      <c r="X111" s="16">
        <f t="shared" si="2"/>
        <v>0.4</v>
      </c>
      <c r="Y111" s="15" t="str">
        <f t="shared" si="3"/>
        <v>no</v>
      </c>
      <c r="Z111" s="8" t="s">
        <v>114</v>
      </c>
      <c r="AA111" s="8"/>
    </row>
    <row r="112" ht="15.75" customHeight="1">
      <c r="A112" s="8" t="s">
        <v>733</v>
      </c>
      <c r="B112" s="9" t="s">
        <v>734</v>
      </c>
      <c r="C112" s="8" t="s">
        <v>128</v>
      </c>
      <c r="D112" s="8" t="s">
        <v>102</v>
      </c>
      <c r="E112" s="8" t="s">
        <v>94</v>
      </c>
      <c r="F112" s="8" t="s">
        <v>735</v>
      </c>
      <c r="G112" s="11">
        <v>1450.0</v>
      </c>
      <c r="H112" s="11">
        <v>1160.0</v>
      </c>
      <c r="I112" s="12">
        <f t="shared" si="1"/>
        <v>0.2</v>
      </c>
      <c r="J112" s="14"/>
      <c r="K112" s="8" t="s">
        <v>85</v>
      </c>
      <c r="L112" s="14">
        <v>45.0</v>
      </c>
      <c r="M112" s="14">
        <v>35.0</v>
      </c>
      <c r="N112" s="14"/>
      <c r="O112" s="14"/>
      <c r="P112" s="14"/>
      <c r="Q112" s="14"/>
      <c r="R112" s="14"/>
      <c r="S112" s="14"/>
      <c r="T112" s="14"/>
      <c r="U112" s="8" t="s">
        <v>736</v>
      </c>
      <c r="V112" s="8" t="s">
        <v>155</v>
      </c>
      <c r="W112" s="8" t="s">
        <v>155</v>
      </c>
      <c r="X112" s="16">
        <f t="shared" si="2"/>
        <v>0.4</v>
      </c>
      <c r="Y112" s="15" t="str">
        <f t="shared" si="3"/>
        <v>no</v>
      </c>
      <c r="Z112" s="8" t="s">
        <v>114</v>
      </c>
      <c r="AA112" s="8"/>
    </row>
    <row r="113" ht="15.75" customHeight="1">
      <c r="A113" s="8" t="s">
        <v>737</v>
      </c>
      <c r="B113" s="9" t="s">
        <v>738</v>
      </c>
      <c r="C113" s="8" t="s">
        <v>128</v>
      </c>
      <c r="D113" s="8" t="s">
        <v>106</v>
      </c>
      <c r="E113" s="8" t="s">
        <v>76</v>
      </c>
      <c r="F113" s="8" t="s">
        <v>739</v>
      </c>
      <c r="G113" s="11">
        <v>377000.0</v>
      </c>
      <c r="H113" s="11">
        <v>263900.0</v>
      </c>
      <c r="I113" s="12">
        <f t="shared" si="1"/>
        <v>0.3</v>
      </c>
      <c r="J113" s="14"/>
      <c r="K113" s="8" t="s">
        <v>504</v>
      </c>
      <c r="L113" s="14">
        <v>40.0</v>
      </c>
      <c r="M113" s="14">
        <v>80.0</v>
      </c>
      <c r="N113" s="14">
        <v>45.0</v>
      </c>
      <c r="O113" s="14"/>
      <c r="P113" s="14"/>
      <c r="Q113" s="14"/>
      <c r="R113" s="14"/>
      <c r="S113" s="14"/>
      <c r="T113" s="14"/>
      <c r="U113" s="8" t="s">
        <v>740</v>
      </c>
      <c r="V113" s="8" t="s">
        <v>741</v>
      </c>
      <c r="W113" s="8" t="s">
        <v>467</v>
      </c>
      <c r="X113" s="16">
        <f t="shared" si="2"/>
        <v>0.4</v>
      </c>
      <c r="Y113" s="15" t="str">
        <f t="shared" si="3"/>
        <v>no</v>
      </c>
      <c r="Z113" s="8" t="s">
        <v>114</v>
      </c>
      <c r="AA113" s="8"/>
    </row>
    <row r="114" ht="15.75" customHeight="1">
      <c r="A114" s="8" t="s">
        <v>742</v>
      </c>
      <c r="B114" s="9" t="s">
        <v>743</v>
      </c>
      <c r="C114" s="8" t="s">
        <v>128</v>
      </c>
      <c r="D114" s="8" t="s">
        <v>83</v>
      </c>
      <c r="E114" s="8" t="s">
        <v>76</v>
      </c>
      <c r="F114" s="8" t="s">
        <v>744</v>
      </c>
      <c r="G114" s="11">
        <v>1192770.0</v>
      </c>
      <c r="H114" s="11">
        <v>404000.0</v>
      </c>
      <c r="I114" s="12">
        <f t="shared" si="1"/>
        <v>0.6612926214</v>
      </c>
      <c r="J114" s="14">
        <v>1.0</v>
      </c>
      <c r="K114" s="8" t="s">
        <v>85</v>
      </c>
      <c r="L114" s="14"/>
      <c r="M114" s="14"/>
      <c r="N114" s="14"/>
      <c r="O114" s="14"/>
      <c r="P114" s="14"/>
      <c r="Q114" s="14"/>
      <c r="R114" s="14"/>
      <c r="S114" s="14"/>
      <c r="T114" s="14"/>
      <c r="U114" s="8" t="s">
        <v>745</v>
      </c>
      <c r="V114" s="8" t="s">
        <v>153</v>
      </c>
      <c r="W114" s="8" t="s">
        <v>155</v>
      </c>
      <c r="X114" s="16">
        <f t="shared" si="2"/>
        <v>0.4</v>
      </c>
      <c r="Y114" s="15" t="str">
        <f t="shared" si="3"/>
        <v>no</v>
      </c>
      <c r="Z114" s="8" t="s">
        <v>114</v>
      </c>
      <c r="AA114" s="8"/>
    </row>
    <row r="115" ht="15.75" customHeight="1">
      <c r="A115" s="8" t="s">
        <v>746</v>
      </c>
      <c r="B115" s="9" t="s">
        <v>747</v>
      </c>
      <c r="C115" s="8" t="s">
        <v>128</v>
      </c>
      <c r="D115" s="8" t="s">
        <v>99</v>
      </c>
      <c r="E115" s="8" t="s">
        <v>76</v>
      </c>
      <c r="F115" s="8" t="s">
        <v>748</v>
      </c>
      <c r="G115" s="11">
        <v>324764.0</v>
      </c>
      <c r="H115" s="11">
        <v>110000.0</v>
      </c>
      <c r="I115" s="12">
        <f t="shared" si="1"/>
        <v>0.6612925078</v>
      </c>
      <c r="J115" s="14"/>
      <c r="K115" s="8" t="s">
        <v>175</v>
      </c>
      <c r="L115" s="14">
        <v>40.0</v>
      </c>
      <c r="M115" s="14">
        <v>31.0</v>
      </c>
      <c r="N115" s="14"/>
      <c r="O115" s="14"/>
      <c r="P115" s="14"/>
      <c r="Q115" s="14"/>
      <c r="R115" s="14"/>
      <c r="S115" s="14"/>
      <c r="T115" s="14"/>
      <c r="U115" s="8" t="s">
        <v>749</v>
      </c>
      <c r="V115" s="8" t="s">
        <v>750</v>
      </c>
      <c r="W115" s="8" t="s">
        <v>155</v>
      </c>
      <c r="X115" s="16">
        <f t="shared" si="2"/>
        <v>0.4</v>
      </c>
      <c r="Y115" s="15" t="str">
        <f t="shared" si="3"/>
        <v>no</v>
      </c>
      <c r="Z115" s="8" t="s">
        <v>114</v>
      </c>
      <c r="AA115" s="8"/>
    </row>
    <row r="116" ht="15.75" customHeight="1">
      <c r="A116" s="8" t="s">
        <v>751</v>
      </c>
      <c r="B116" s="9" t="s">
        <v>752</v>
      </c>
      <c r="C116" s="8" t="s">
        <v>128</v>
      </c>
      <c r="D116" s="8" t="s">
        <v>90</v>
      </c>
      <c r="E116" s="8" t="s">
        <v>94</v>
      </c>
      <c r="F116" s="8" t="s">
        <v>753</v>
      </c>
      <c r="G116" s="11">
        <v>200.0</v>
      </c>
      <c r="H116" s="11">
        <v>170.0</v>
      </c>
      <c r="I116" s="12">
        <f t="shared" si="1"/>
        <v>0.15</v>
      </c>
      <c r="J116" s="14">
        <v>3.0</v>
      </c>
      <c r="K116" s="8" t="s">
        <v>754</v>
      </c>
      <c r="L116" s="14"/>
      <c r="M116" s="14"/>
      <c r="N116" s="14"/>
      <c r="O116" s="14"/>
      <c r="P116" s="14"/>
      <c r="Q116" s="14"/>
      <c r="R116" s="14"/>
      <c r="S116" s="14"/>
      <c r="T116" s="14"/>
      <c r="U116" s="8" t="s">
        <v>755</v>
      </c>
      <c r="V116" s="8" t="s">
        <v>756</v>
      </c>
      <c r="W116" s="8" t="s">
        <v>415</v>
      </c>
      <c r="X116" s="16">
        <f t="shared" si="2"/>
        <v>0.4</v>
      </c>
      <c r="Y116" s="15" t="str">
        <f t="shared" si="3"/>
        <v>no</v>
      </c>
      <c r="Z116" s="8" t="s">
        <v>114</v>
      </c>
      <c r="AA116" s="8"/>
    </row>
    <row r="117" ht="15.75" customHeight="1">
      <c r="A117" s="8" t="s">
        <v>757</v>
      </c>
      <c r="B117" s="9" t="s">
        <v>758</v>
      </c>
      <c r="C117" s="8" t="s">
        <v>128</v>
      </c>
      <c r="D117" s="8" t="s">
        <v>90</v>
      </c>
      <c r="E117" s="8" t="s">
        <v>94</v>
      </c>
      <c r="F117" s="8" t="s">
        <v>759</v>
      </c>
      <c r="G117" s="11">
        <v>547.0</v>
      </c>
      <c r="H117" s="11">
        <v>465.0</v>
      </c>
      <c r="I117" s="12">
        <f t="shared" si="1"/>
        <v>0.1499085923</v>
      </c>
      <c r="J117" s="14"/>
      <c r="K117" s="8" t="s">
        <v>760</v>
      </c>
      <c r="L117" s="14"/>
      <c r="M117" s="14"/>
      <c r="N117" s="14"/>
      <c r="O117" s="14"/>
      <c r="P117" s="14"/>
      <c r="Q117" s="14"/>
      <c r="R117" s="14"/>
      <c r="S117" s="14"/>
      <c r="T117" s="14"/>
      <c r="U117" s="8" t="s">
        <v>761</v>
      </c>
      <c r="V117" s="8" t="s">
        <v>756</v>
      </c>
      <c r="W117" s="8" t="s">
        <v>415</v>
      </c>
      <c r="X117" s="16">
        <f t="shared" si="2"/>
        <v>0.3</v>
      </c>
      <c r="Y117" s="15" t="str">
        <f t="shared" si="3"/>
        <v>no</v>
      </c>
      <c r="Z117" s="8" t="s">
        <v>114</v>
      </c>
      <c r="AA117" s="8"/>
    </row>
    <row r="118" ht="15.75" customHeight="1">
      <c r="A118" s="8" t="s">
        <v>762</v>
      </c>
      <c r="B118" s="9" t="s">
        <v>763</v>
      </c>
      <c r="C118" s="8" t="s">
        <v>128</v>
      </c>
      <c r="D118" s="8" t="s">
        <v>83</v>
      </c>
      <c r="E118" s="8" t="s">
        <v>76</v>
      </c>
      <c r="F118" s="8" t="s">
        <v>764</v>
      </c>
      <c r="G118" s="11">
        <v>5497959.0</v>
      </c>
      <c r="H118" s="11">
        <v>1862200.0</v>
      </c>
      <c r="I118" s="12">
        <f t="shared" si="1"/>
        <v>0.6612924905</v>
      </c>
      <c r="J118" s="14">
        <v>1.0</v>
      </c>
      <c r="K118" s="8" t="s">
        <v>85</v>
      </c>
      <c r="L118" s="14"/>
      <c r="M118" s="14"/>
      <c r="N118" s="14"/>
      <c r="O118" s="14"/>
      <c r="P118" s="14"/>
      <c r="Q118" s="14"/>
      <c r="R118" s="14"/>
      <c r="S118" s="14"/>
      <c r="T118" s="14"/>
      <c r="U118" s="8" t="s">
        <v>765</v>
      </c>
      <c r="V118" s="8" t="s">
        <v>153</v>
      </c>
      <c r="W118" s="8" t="s">
        <v>155</v>
      </c>
      <c r="X118" s="16">
        <f t="shared" si="2"/>
        <v>0.4</v>
      </c>
      <c r="Y118" s="15" t="str">
        <f t="shared" si="3"/>
        <v>no</v>
      </c>
      <c r="Z118" s="8" t="s">
        <v>114</v>
      </c>
      <c r="AA118" s="8" t="s">
        <v>766</v>
      </c>
    </row>
    <row r="119" ht="15.75" customHeight="1">
      <c r="A119" s="8" t="s">
        <v>767</v>
      </c>
      <c r="B119" s="9" t="s">
        <v>768</v>
      </c>
      <c r="C119" s="8" t="s">
        <v>128</v>
      </c>
      <c r="D119" s="8" t="s">
        <v>95</v>
      </c>
      <c r="E119" s="8" t="s">
        <v>76</v>
      </c>
      <c r="F119" s="8" t="s">
        <v>769</v>
      </c>
      <c r="G119" s="11">
        <v>2612874.0</v>
      </c>
      <c r="H119" s="11">
        <v>885000.0</v>
      </c>
      <c r="I119" s="12">
        <f t="shared" si="1"/>
        <v>0.6612925078</v>
      </c>
      <c r="J119" s="14">
        <v>1.0</v>
      </c>
      <c r="K119" s="8" t="s">
        <v>85</v>
      </c>
      <c r="L119" s="14"/>
      <c r="M119" s="14"/>
      <c r="N119" s="14"/>
      <c r="O119" s="14"/>
      <c r="P119" s="14"/>
      <c r="Q119" s="14"/>
      <c r="R119" s="14"/>
      <c r="S119" s="14"/>
      <c r="T119" s="14"/>
      <c r="U119" s="8" t="s">
        <v>770</v>
      </c>
      <c r="V119" s="8" t="s">
        <v>155</v>
      </c>
      <c r="W119" s="8" t="s">
        <v>155</v>
      </c>
      <c r="X119" s="16">
        <f t="shared" si="2"/>
        <v>0.4</v>
      </c>
      <c r="Y119" s="15" t="str">
        <f t="shared" si="3"/>
        <v>no</v>
      </c>
      <c r="Z119" s="8" t="s">
        <v>114</v>
      </c>
      <c r="AA119" s="8"/>
    </row>
    <row r="120" ht="15.75" customHeight="1">
      <c r="A120" s="8" t="s">
        <v>771</v>
      </c>
      <c r="B120" s="9" t="s">
        <v>772</v>
      </c>
      <c r="C120" s="8" t="s">
        <v>128</v>
      </c>
      <c r="D120" s="8" t="s">
        <v>95</v>
      </c>
      <c r="E120" s="8" t="s">
        <v>76</v>
      </c>
      <c r="F120" s="8" t="s">
        <v>769</v>
      </c>
      <c r="G120" s="11">
        <v>3129544.0</v>
      </c>
      <c r="H120" s="11">
        <v>1060000.0</v>
      </c>
      <c r="I120" s="12">
        <f t="shared" si="1"/>
        <v>0.6612925078</v>
      </c>
      <c r="J120" s="14">
        <v>1.0</v>
      </c>
      <c r="K120" s="8" t="s">
        <v>175</v>
      </c>
      <c r="L120" s="14"/>
      <c r="M120" s="14"/>
      <c r="N120" s="14"/>
      <c r="O120" s="14"/>
      <c r="P120" s="14"/>
      <c r="Q120" s="14"/>
      <c r="R120" s="14"/>
      <c r="S120" s="14"/>
      <c r="T120" s="14"/>
      <c r="U120" s="8" t="s">
        <v>773</v>
      </c>
      <c r="V120" s="8" t="s">
        <v>774</v>
      </c>
      <c r="W120" s="8" t="s">
        <v>451</v>
      </c>
      <c r="X120" s="16">
        <f t="shared" si="2"/>
        <v>0.4</v>
      </c>
      <c r="Y120" s="15" t="str">
        <f t="shared" si="3"/>
        <v>no</v>
      </c>
      <c r="Z120" s="8" t="s">
        <v>114</v>
      </c>
      <c r="AA120" s="8"/>
    </row>
    <row r="121" ht="15.75" customHeight="1">
      <c r="A121" s="8" t="s">
        <v>775</v>
      </c>
      <c r="B121" s="9" t="s">
        <v>776</v>
      </c>
      <c r="C121" s="8" t="s">
        <v>128</v>
      </c>
      <c r="D121" s="8" t="s">
        <v>159</v>
      </c>
      <c r="E121" s="8" t="s">
        <v>162</v>
      </c>
      <c r="F121" s="8" t="s">
        <v>777</v>
      </c>
      <c r="G121" s="11">
        <v>1014.0</v>
      </c>
      <c r="H121" s="11">
        <v>510.0</v>
      </c>
      <c r="I121" s="12">
        <f t="shared" si="1"/>
        <v>0.4970414201</v>
      </c>
      <c r="J121" s="14"/>
      <c r="K121" s="8"/>
      <c r="L121" s="14"/>
      <c r="M121" s="14"/>
      <c r="N121" s="14"/>
      <c r="O121" s="14"/>
      <c r="P121" s="14"/>
      <c r="Q121" s="14"/>
      <c r="R121" s="14"/>
      <c r="S121" s="14"/>
      <c r="T121" s="14"/>
      <c r="U121" s="8" t="s">
        <v>778</v>
      </c>
      <c r="V121" s="8"/>
      <c r="W121" s="8" t="s">
        <v>130</v>
      </c>
      <c r="X121" s="16">
        <f t="shared" si="2"/>
        <v>0.3</v>
      </c>
      <c r="Y121" s="15" t="str">
        <f t="shared" si="3"/>
        <v>no</v>
      </c>
      <c r="Z121" s="8" t="s">
        <v>114</v>
      </c>
      <c r="AA121" s="8"/>
    </row>
    <row r="122" ht="15.75" customHeight="1">
      <c r="A122" s="8" t="s">
        <v>779</v>
      </c>
      <c r="B122" s="9" t="s">
        <v>780</v>
      </c>
      <c r="C122" s="8" t="s">
        <v>128</v>
      </c>
      <c r="D122" s="8" t="s">
        <v>159</v>
      </c>
      <c r="E122" s="8" t="s">
        <v>162</v>
      </c>
      <c r="F122" s="8" t="s">
        <v>781</v>
      </c>
      <c r="G122" s="11">
        <v>1032.0</v>
      </c>
      <c r="H122" s="11">
        <v>550.0</v>
      </c>
      <c r="I122" s="12">
        <f t="shared" si="1"/>
        <v>0.4670542636</v>
      </c>
      <c r="J122" s="14"/>
      <c r="K122" s="8" t="s">
        <v>782</v>
      </c>
      <c r="L122" s="14"/>
      <c r="M122" s="14"/>
      <c r="N122" s="14"/>
      <c r="O122" s="14"/>
      <c r="P122" s="14"/>
      <c r="Q122" s="14"/>
      <c r="R122" s="14"/>
      <c r="S122" s="14"/>
      <c r="T122" s="14"/>
      <c r="U122" s="8" t="s">
        <v>783</v>
      </c>
      <c r="V122" s="8" t="s">
        <v>153</v>
      </c>
      <c r="W122" s="8" t="s">
        <v>155</v>
      </c>
      <c r="X122" s="16">
        <f t="shared" si="2"/>
        <v>0.3</v>
      </c>
      <c r="Y122" s="15" t="str">
        <f t="shared" si="3"/>
        <v>no</v>
      </c>
      <c r="Z122" s="8" t="s">
        <v>114</v>
      </c>
      <c r="AA122" s="8"/>
    </row>
    <row r="123" ht="15.75" customHeight="1">
      <c r="A123" s="8" t="s">
        <v>784</v>
      </c>
      <c r="B123" s="9" t="s">
        <v>785</v>
      </c>
      <c r="C123" s="8" t="s">
        <v>128</v>
      </c>
      <c r="D123" s="8" t="s">
        <v>102</v>
      </c>
      <c r="E123" s="8" t="s">
        <v>94</v>
      </c>
      <c r="F123" s="8" t="s">
        <v>786</v>
      </c>
      <c r="G123" s="11">
        <v>1500.0</v>
      </c>
      <c r="H123" s="11">
        <v>1200.0</v>
      </c>
      <c r="I123" s="12">
        <f t="shared" si="1"/>
        <v>0.2</v>
      </c>
      <c r="J123" s="14"/>
      <c r="K123" s="8" t="s">
        <v>85</v>
      </c>
      <c r="L123" s="14"/>
      <c r="M123" s="14"/>
      <c r="N123" s="14"/>
      <c r="O123" s="14"/>
      <c r="P123" s="14"/>
      <c r="Q123" s="14"/>
      <c r="R123" s="14"/>
      <c r="S123" s="14"/>
      <c r="T123" s="14"/>
      <c r="U123" s="8" t="s">
        <v>787</v>
      </c>
      <c r="V123" s="8" t="s">
        <v>155</v>
      </c>
      <c r="W123" s="8" t="s">
        <v>155</v>
      </c>
      <c r="X123" s="16">
        <f t="shared" si="2"/>
        <v>0.3</v>
      </c>
      <c r="Y123" s="15" t="str">
        <f t="shared" si="3"/>
        <v>no</v>
      </c>
      <c r="Z123" s="8" t="s">
        <v>114</v>
      </c>
      <c r="AA123" s="8"/>
    </row>
    <row r="124" ht="15.75" customHeight="1">
      <c r="A124" s="8" t="s">
        <v>788</v>
      </c>
      <c r="B124" s="9" t="s">
        <v>789</v>
      </c>
      <c r="C124" s="8" t="s">
        <v>128</v>
      </c>
      <c r="D124" s="8" t="s">
        <v>106</v>
      </c>
      <c r="E124" s="8" t="s">
        <v>76</v>
      </c>
      <c r="F124" s="8" t="s">
        <v>790</v>
      </c>
      <c r="G124" s="11">
        <v>310000.0</v>
      </c>
      <c r="H124" s="11">
        <v>217000.0</v>
      </c>
      <c r="I124" s="12">
        <f t="shared" si="1"/>
        <v>0.3</v>
      </c>
      <c r="J124" s="14"/>
      <c r="K124" s="8" t="s">
        <v>791</v>
      </c>
      <c r="L124" s="14"/>
      <c r="M124" s="14"/>
      <c r="N124" s="14"/>
      <c r="O124" s="14"/>
      <c r="P124" s="14"/>
      <c r="Q124" s="14"/>
      <c r="R124" s="14"/>
      <c r="S124" s="14"/>
      <c r="T124" s="14"/>
      <c r="U124" s="8" t="s">
        <v>792</v>
      </c>
      <c r="V124" s="8" t="s">
        <v>153</v>
      </c>
      <c r="W124" s="8" t="s">
        <v>155</v>
      </c>
      <c r="X124" s="16">
        <f t="shared" si="2"/>
        <v>0.3</v>
      </c>
      <c r="Y124" s="15" t="str">
        <f t="shared" si="3"/>
        <v>no</v>
      </c>
      <c r="Z124" s="8" t="s">
        <v>114</v>
      </c>
      <c r="AA124" s="8" t="s">
        <v>793</v>
      </c>
    </row>
    <row r="125" ht="15.75" customHeight="1">
      <c r="A125" s="22" t="s">
        <v>794</v>
      </c>
      <c r="B125" s="23" t="s">
        <v>795</v>
      </c>
      <c r="C125" s="22" t="s">
        <v>128</v>
      </c>
      <c r="D125" s="22" t="s">
        <v>102</v>
      </c>
      <c r="E125" s="22" t="s">
        <v>76</v>
      </c>
      <c r="F125" s="22"/>
      <c r="G125" s="11"/>
      <c r="H125" s="11"/>
      <c r="I125" s="12" t="str">
        <f t="shared" si="1"/>
        <v/>
      </c>
      <c r="J125" s="14">
        <v>1.0</v>
      </c>
      <c r="K125" s="8"/>
      <c r="L125" s="14"/>
      <c r="M125" s="14"/>
      <c r="N125" s="14"/>
      <c r="O125" s="14"/>
      <c r="P125" s="14"/>
      <c r="Q125" s="14"/>
      <c r="R125" s="14"/>
      <c r="S125" s="14"/>
      <c r="T125" s="14"/>
      <c r="U125" s="8" t="s">
        <v>796</v>
      </c>
      <c r="V125" s="8"/>
      <c r="W125" s="8"/>
      <c r="X125" s="16">
        <f t="shared" si="2"/>
        <v>0.3</v>
      </c>
      <c r="Y125" s="15" t="str">
        <f t="shared" si="3"/>
        <v>no</v>
      </c>
      <c r="Z125" s="8" t="s">
        <v>499</v>
      </c>
      <c r="AA125" s="8" t="s">
        <v>797</v>
      </c>
    </row>
    <row r="126" ht="15.75" customHeight="1">
      <c r="A126" s="8" t="s">
        <v>798</v>
      </c>
      <c r="B126" s="9" t="s">
        <v>799</v>
      </c>
      <c r="C126" s="8" t="s">
        <v>128</v>
      </c>
      <c r="D126" s="8" t="s">
        <v>83</v>
      </c>
      <c r="E126" s="8" t="s">
        <v>76</v>
      </c>
      <c r="F126" s="8" t="s">
        <v>800</v>
      </c>
      <c r="G126" s="11">
        <v>1092388.0</v>
      </c>
      <c r="H126" s="11">
        <v>370000.0</v>
      </c>
      <c r="I126" s="12">
        <f t="shared" si="1"/>
        <v>0.6612925078</v>
      </c>
      <c r="J126" s="14">
        <v>1.0</v>
      </c>
      <c r="K126" s="8" t="s">
        <v>85</v>
      </c>
      <c r="L126" s="14"/>
      <c r="M126" s="14"/>
      <c r="N126" s="14"/>
      <c r="O126" s="14"/>
      <c r="P126" s="14"/>
      <c r="Q126" s="14"/>
      <c r="R126" s="14"/>
      <c r="S126" s="14"/>
      <c r="T126" s="14"/>
      <c r="U126" s="8" t="s">
        <v>801</v>
      </c>
      <c r="V126" s="8" t="s">
        <v>153</v>
      </c>
      <c r="W126" s="8" t="s">
        <v>155</v>
      </c>
      <c r="X126" s="16">
        <f t="shared" si="2"/>
        <v>0.4</v>
      </c>
      <c r="Y126" s="15" t="str">
        <f t="shared" si="3"/>
        <v>no</v>
      </c>
      <c r="Z126" s="8" t="s">
        <v>114</v>
      </c>
      <c r="AA126" s="8"/>
    </row>
    <row r="127" ht="15.75" customHeight="1">
      <c r="A127" s="8" t="s">
        <v>802</v>
      </c>
      <c r="B127" s="9" t="s">
        <v>803</v>
      </c>
      <c r="C127" s="8" t="s">
        <v>128</v>
      </c>
      <c r="D127" s="8" t="s">
        <v>116</v>
      </c>
      <c r="E127" s="8" t="s">
        <v>76</v>
      </c>
      <c r="F127" s="8" t="s">
        <v>804</v>
      </c>
      <c r="G127" s="11">
        <v>700000.0</v>
      </c>
      <c r="H127" s="11">
        <v>420000.0</v>
      </c>
      <c r="I127" s="12">
        <f t="shared" si="1"/>
        <v>0.4</v>
      </c>
      <c r="J127" s="14"/>
      <c r="K127" s="8" t="s">
        <v>175</v>
      </c>
      <c r="L127" s="14"/>
      <c r="M127" s="14"/>
      <c r="N127" s="14"/>
      <c r="O127" s="14"/>
      <c r="P127" s="14"/>
      <c r="Q127" s="14"/>
      <c r="R127" s="14"/>
      <c r="S127" s="14"/>
      <c r="T127" s="14"/>
      <c r="U127" s="8" t="s">
        <v>805</v>
      </c>
      <c r="V127" s="8" t="s">
        <v>178</v>
      </c>
      <c r="W127" s="8" t="s">
        <v>179</v>
      </c>
      <c r="X127" s="16">
        <f t="shared" si="2"/>
        <v>0.3</v>
      </c>
      <c r="Y127" s="15" t="str">
        <f t="shared" si="3"/>
        <v>no</v>
      </c>
      <c r="Z127" s="8" t="s">
        <v>114</v>
      </c>
      <c r="AA127" s="8"/>
    </row>
    <row r="128" ht="15.75" customHeight="1">
      <c r="A128" s="8" t="s">
        <v>806</v>
      </c>
      <c r="B128" s="9" t="s">
        <v>807</v>
      </c>
      <c r="C128" s="8" t="s">
        <v>808</v>
      </c>
      <c r="D128" s="8" t="s">
        <v>83</v>
      </c>
      <c r="E128" s="8" t="s">
        <v>76</v>
      </c>
      <c r="F128" s="8" t="s">
        <v>809</v>
      </c>
      <c r="G128" s="11">
        <v>289335.0</v>
      </c>
      <c r="H128" s="11">
        <v>98000.0</v>
      </c>
      <c r="I128" s="12">
        <f t="shared" si="1"/>
        <v>0.6612922737</v>
      </c>
      <c r="J128" s="14"/>
      <c r="K128" s="8" t="s">
        <v>810</v>
      </c>
      <c r="L128" s="14"/>
      <c r="M128" s="14"/>
      <c r="N128" s="14"/>
      <c r="O128" s="14"/>
      <c r="P128" s="14"/>
      <c r="Q128" s="14"/>
      <c r="R128" s="14"/>
      <c r="S128" s="14"/>
      <c r="T128" s="14"/>
      <c r="U128" s="8" t="s">
        <v>811</v>
      </c>
      <c r="V128" s="8" t="s">
        <v>153</v>
      </c>
      <c r="W128" s="8" t="s">
        <v>155</v>
      </c>
      <c r="X128" s="16">
        <f t="shared" si="2"/>
        <v>0.3</v>
      </c>
      <c r="Y128" s="15" t="str">
        <f t="shared" si="3"/>
        <v>no</v>
      </c>
      <c r="Z128" s="8" t="s">
        <v>114</v>
      </c>
      <c r="AA128" s="8"/>
    </row>
    <row r="129" ht="15.75" customHeight="1">
      <c r="A129" s="8" t="s">
        <v>812</v>
      </c>
      <c r="B129" s="9" t="s">
        <v>813</v>
      </c>
      <c r="C129" s="8" t="s">
        <v>808</v>
      </c>
      <c r="D129" s="8" t="s">
        <v>83</v>
      </c>
      <c r="E129" s="8" t="s">
        <v>76</v>
      </c>
      <c r="F129" s="8" t="s">
        <v>814</v>
      </c>
      <c r="G129" s="11">
        <v>289335.0</v>
      </c>
      <c r="H129" s="11">
        <v>98000.0</v>
      </c>
      <c r="I129" s="12">
        <f t="shared" si="1"/>
        <v>0.6612922737</v>
      </c>
      <c r="J129" s="14"/>
      <c r="K129" s="8" t="s">
        <v>815</v>
      </c>
      <c r="L129" s="14"/>
      <c r="M129" s="14"/>
      <c r="N129" s="14"/>
      <c r="O129" s="14"/>
      <c r="P129" s="14"/>
      <c r="Q129" s="14"/>
      <c r="R129" s="14"/>
      <c r="S129" s="14"/>
      <c r="T129" s="14"/>
      <c r="U129" s="8" t="s">
        <v>816</v>
      </c>
      <c r="V129" s="8" t="s">
        <v>153</v>
      </c>
      <c r="W129" s="8" t="s">
        <v>155</v>
      </c>
      <c r="X129" s="16">
        <f t="shared" si="2"/>
        <v>0.3</v>
      </c>
      <c r="Y129" s="15" t="str">
        <f t="shared" si="3"/>
        <v>no</v>
      </c>
      <c r="Z129" s="8" t="s">
        <v>114</v>
      </c>
      <c r="AA129" s="8"/>
    </row>
    <row r="130" ht="15.75" customHeight="1">
      <c r="A130" s="8" t="s">
        <v>817</v>
      </c>
      <c r="B130" s="9" t="s">
        <v>818</v>
      </c>
      <c r="C130" s="8" t="s">
        <v>808</v>
      </c>
      <c r="D130" s="8" t="s">
        <v>83</v>
      </c>
      <c r="E130" s="8" t="s">
        <v>76</v>
      </c>
      <c r="F130" s="8" t="s">
        <v>819</v>
      </c>
      <c r="G130" s="11">
        <v>289335.0</v>
      </c>
      <c r="H130" s="11">
        <v>98000.0</v>
      </c>
      <c r="I130" s="12">
        <f t="shared" si="1"/>
        <v>0.6612922737</v>
      </c>
      <c r="J130" s="14">
        <v>1.0</v>
      </c>
      <c r="K130" s="8" t="s">
        <v>820</v>
      </c>
      <c r="L130" s="14"/>
      <c r="M130" s="14"/>
      <c r="N130" s="14"/>
      <c r="O130" s="14"/>
      <c r="P130" s="14"/>
      <c r="Q130" s="14"/>
      <c r="R130" s="14"/>
      <c r="S130" s="14"/>
      <c r="T130" s="14"/>
      <c r="U130" s="8" t="s">
        <v>821</v>
      </c>
      <c r="V130" s="8" t="s">
        <v>253</v>
      </c>
      <c r="W130" s="8" t="s">
        <v>253</v>
      </c>
      <c r="X130" s="16">
        <f t="shared" si="2"/>
        <v>0.4</v>
      </c>
      <c r="Y130" s="15" t="str">
        <f t="shared" si="3"/>
        <v>no</v>
      </c>
      <c r="Z130" s="8" t="s">
        <v>114</v>
      </c>
      <c r="AA130" s="8"/>
    </row>
    <row r="131" ht="15.75" customHeight="1">
      <c r="A131" s="8" t="s">
        <v>822</v>
      </c>
      <c r="B131" s="9" t="s">
        <v>823</v>
      </c>
      <c r="C131" s="8" t="s">
        <v>808</v>
      </c>
      <c r="D131" s="8" t="s">
        <v>203</v>
      </c>
      <c r="E131" s="8" t="s">
        <v>94</v>
      </c>
      <c r="F131" s="8" t="s">
        <v>824</v>
      </c>
      <c r="G131" s="11">
        <v>188100.0</v>
      </c>
      <c r="H131" s="11">
        <v>150480.0</v>
      </c>
      <c r="I131" s="12">
        <f t="shared" si="1"/>
        <v>0.2</v>
      </c>
      <c r="J131" s="14">
        <v>0.0</v>
      </c>
      <c r="K131" s="8" t="s">
        <v>126</v>
      </c>
      <c r="L131" s="14"/>
      <c r="M131" s="14"/>
      <c r="N131" s="14"/>
      <c r="O131" s="14"/>
      <c r="P131" s="14"/>
      <c r="Q131" s="14"/>
      <c r="R131" s="14"/>
      <c r="S131" s="14"/>
      <c r="T131" s="14"/>
      <c r="U131" s="8" t="s">
        <v>825</v>
      </c>
      <c r="V131" s="8"/>
      <c r="W131" s="8" t="s">
        <v>130</v>
      </c>
      <c r="X131" s="16">
        <f t="shared" si="2"/>
        <v>0.4</v>
      </c>
      <c r="Y131" s="15" t="str">
        <f t="shared" si="3"/>
        <v>no</v>
      </c>
      <c r="Z131" s="8" t="s">
        <v>114</v>
      </c>
      <c r="AA131" s="8"/>
    </row>
    <row r="132" ht="15.75" customHeight="1">
      <c r="A132" s="8" t="s">
        <v>826</v>
      </c>
      <c r="B132" s="9" t="s">
        <v>827</v>
      </c>
      <c r="C132" s="8" t="s">
        <v>808</v>
      </c>
      <c r="D132" s="8" t="s">
        <v>70</v>
      </c>
      <c r="E132" s="8" t="s">
        <v>76</v>
      </c>
      <c r="F132" s="8" t="s">
        <v>828</v>
      </c>
      <c r="G132" s="11">
        <v>350000.0</v>
      </c>
      <c r="H132" s="11">
        <v>245000.0</v>
      </c>
      <c r="I132" s="12">
        <f t="shared" si="1"/>
        <v>0.3</v>
      </c>
      <c r="J132" s="14"/>
      <c r="K132" s="8" t="s">
        <v>85</v>
      </c>
      <c r="L132" s="14"/>
      <c r="M132" s="14"/>
      <c r="N132" s="14"/>
      <c r="O132" s="14"/>
      <c r="P132" s="14"/>
      <c r="Q132" s="14"/>
      <c r="R132" s="14"/>
      <c r="S132" s="14"/>
      <c r="T132" s="14"/>
      <c r="U132" s="8" t="s">
        <v>829</v>
      </c>
      <c r="V132" s="8"/>
      <c r="W132" s="8" t="s">
        <v>130</v>
      </c>
      <c r="X132" s="16">
        <f t="shared" si="2"/>
        <v>0.3</v>
      </c>
      <c r="Y132" s="15" t="str">
        <f t="shared" si="3"/>
        <v>no</v>
      </c>
      <c r="Z132" s="8" t="s">
        <v>114</v>
      </c>
      <c r="AA132" s="8"/>
    </row>
    <row r="133" ht="15.75" customHeight="1">
      <c r="A133" s="8" t="s">
        <v>830</v>
      </c>
      <c r="B133" s="9" t="s">
        <v>831</v>
      </c>
      <c r="C133" s="8" t="s">
        <v>808</v>
      </c>
      <c r="D133" s="8" t="s">
        <v>70</v>
      </c>
      <c r="E133" s="8" t="s">
        <v>76</v>
      </c>
      <c r="F133" s="8" t="s">
        <v>832</v>
      </c>
      <c r="G133" s="11">
        <v>420000.0</v>
      </c>
      <c r="H133" s="11">
        <v>294000.0</v>
      </c>
      <c r="I133" s="12">
        <f t="shared" si="1"/>
        <v>0.3</v>
      </c>
      <c r="J133" s="14"/>
      <c r="K133" s="8" t="s">
        <v>85</v>
      </c>
      <c r="L133" s="14"/>
      <c r="M133" s="14"/>
      <c r="N133" s="14"/>
      <c r="O133" s="14"/>
      <c r="P133" s="14"/>
      <c r="Q133" s="14"/>
      <c r="R133" s="14"/>
      <c r="S133" s="14"/>
      <c r="T133" s="14"/>
      <c r="U133" s="8" t="s">
        <v>833</v>
      </c>
      <c r="V133" s="8"/>
      <c r="W133" s="8" t="s">
        <v>130</v>
      </c>
      <c r="X133" s="16">
        <f t="shared" si="2"/>
        <v>0.3</v>
      </c>
      <c r="Y133" s="15" t="str">
        <f t="shared" si="3"/>
        <v>no</v>
      </c>
      <c r="Z133" s="8" t="s">
        <v>114</v>
      </c>
      <c r="AA133" s="8"/>
    </row>
    <row r="134" ht="15.75" customHeight="1">
      <c r="A134" s="8" t="s">
        <v>834</v>
      </c>
      <c r="B134" s="9" t="s">
        <v>835</v>
      </c>
      <c r="C134" s="8" t="s">
        <v>808</v>
      </c>
      <c r="D134" s="8" t="s">
        <v>70</v>
      </c>
      <c r="E134" s="8" t="s">
        <v>76</v>
      </c>
      <c r="F134" s="8" t="s">
        <v>836</v>
      </c>
      <c r="G134" s="11">
        <v>490000.0</v>
      </c>
      <c r="H134" s="11">
        <v>343000.0</v>
      </c>
      <c r="I134" s="12">
        <f t="shared" si="1"/>
        <v>0.3</v>
      </c>
      <c r="J134" s="14"/>
      <c r="K134" s="8" t="s">
        <v>85</v>
      </c>
      <c r="L134" s="14"/>
      <c r="M134" s="14"/>
      <c r="N134" s="14"/>
      <c r="O134" s="14"/>
      <c r="P134" s="14"/>
      <c r="Q134" s="14"/>
      <c r="R134" s="14"/>
      <c r="S134" s="14"/>
      <c r="T134" s="14"/>
      <c r="U134" s="8" t="s">
        <v>837</v>
      </c>
      <c r="V134" s="8"/>
      <c r="W134" s="8" t="s">
        <v>130</v>
      </c>
      <c r="X134" s="16">
        <f t="shared" si="2"/>
        <v>0.3</v>
      </c>
      <c r="Y134" s="15" t="str">
        <f t="shared" si="3"/>
        <v>no</v>
      </c>
      <c r="Z134" s="8" t="s">
        <v>114</v>
      </c>
      <c r="AA134" s="8"/>
    </row>
    <row r="135" ht="15.75" customHeight="1">
      <c r="A135" s="22" t="s">
        <v>838</v>
      </c>
      <c r="B135" s="23" t="s">
        <v>839</v>
      </c>
      <c r="C135" s="22" t="s">
        <v>808</v>
      </c>
      <c r="D135" s="22" t="s">
        <v>83</v>
      </c>
      <c r="E135" s="22" t="s">
        <v>76</v>
      </c>
      <c r="F135" s="22"/>
      <c r="G135" s="11">
        <v>289335.0</v>
      </c>
      <c r="H135" s="11"/>
      <c r="I135" s="12">
        <f t="shared" si="1"/>
        <v>1</v>
      </c>
      <c r="J135" s="14">
        <v>1.0</v>
      </c>
      <c r="K135" s="8"/>
      <c r="L135" s="14"/>
      <c r="M135" s="14"/>
      <c r="N135" s="14"/>
      <c r="O135" s="14"/>
      <c r="P135" s="14"/>
      <c r="Q135" s="14"/>
      <c r="R135" s="14"/>
      <c r="S135" s="14"/>
      <c r="T135" s="14"/>
      <c r="U135" s="8" t="s">
        <v>840</v>
      </c>
      <c r="V135" s="8"/>
      <c r="W135" s="8"/>
      <c r="X135" s="16">
        <f t="shared" si="2"/>
        <v>0.4</v>
      </c>
      <c r="Y135" s="15" t="str">
        <f t="shared" si="3"/>
        <v>no</v>
      </c>
      <c r="Z135" s="8" t="s">
        <v>499</v>
      </c>
      <c r="AA135" s="8" t="s">
        <v>841</v>
      </c>
    </row>
    <row r="136" ht="15.75" customHeight="1">
      <c r="A136" s="8" t="s">
        <v>842</v>
      </c>
      <c r="B136" s="9" t="s">
        <v>843</v>
      </c>
      <c r="C136" s="8" t="s">
        <v>171</v>
      </c>
      <c r="D136" s="8" t="s">
        <v>83</v>
      </c>
      <c r="E136" s="8" t="s">
        <v>76</v>
      </c>
      <c r="F136" s="8" t="s">
        <v>844</v>
      </c>
      <c r="G136" s="11">
        <v>144668.0</v>
      </c>
      <c r="H136" s="11">
        <v>49000.0</v>
      </c>
      <c r="I136" s="12">
        <f t="shared" si="1"/>
        <v>0.6612934443</v>
      </c>
      <c r="J136" s="14"/>
      <c r="K136" s="8" t="s">
        <v>85</v>
      </c>
      <c r="L136" s="14">
        <v>70.0</v>
      </c>
      <c r="M136" s="14">
        <v>30.0</v>
      </c>
      <c r="N136" s="14"/>
      <c r="O136" s="14"/>
      <c r="P136" s="14"/>
      <c r="Q136" s="14"/>
      <c r="R136" s="14"/>
      <c r="S136" s="14"/>
      <c r="T136" s="14"/>
      <c r="U136" s="8" t="s">
        <v>845</v>
      </c>
      <c r="V136" s="8" t="s">
        <v>846</v>
      </c>
      <c r="W136" s="8" t="s">
        <v>93</v>
      </c>
      <c r="X136" s="16">
        <f t="shared" si="2"/>
        <v>0.4</v>
      </c>
      <c r="Y136" s="15" t="str">
        <f t="shared" si="3"/>
        <v>no</v>
      </c>
      <c r="Z136" s="8" t="s">
        <v>114</v>
      </c>
      <c r="AA136" s="8"/>
    </row>
    <row r="137" ht="15.75" customHeight="1">
      <c r="A137" s="8" t="s">
        <v>847</v>
      </c>
      <c r="B137" s="9" t="s">
        <v>848</v>
      </c>
      <c r="C137" s="8" t="s">
        <v>171</v>
      </c>
      <c r="D137" s="8" t="s">
        <v>98</v>
      </c>
      <c r="E137" s="8" t="s">
        <v>76</v>
      </c>
      <c r="F137" s="8" t="s">
        <v>849</v>
      </c>
      <c r="G137" s="11">
        <v>112.0</v>
      </c>
      <c r="H137" s="11">
        <v>58330.0</v>
      </c>
      <c r="I137" s="12">
        <f t="shared" si="1"/>
        <v>-519.8035714</v>
      </c>
      <c r="J137" s="14"/>
      <c r="K137" s="8" t="s">
        <v>85</v>
      </c>
      <c r="L137" s="14">
        <v>45.0</v>
      </c>
      <c r="M137" s="14">
        <v>30.0</v>
      </c>
      <c r="N137" s="14"/>
      <c r="O137" s="14"/>
      <c r="P137" s="14"/>
      <c r="Q137" s="14"/>
      <c r="R137" s="14"/>
      <c r="S137" s="14"/>
      <c r="T137" s="14"/>
      <c r="U137" s="8" t="s">
        <v>850</v>
      </c>
      <c r="V137" s="8" t="s">
        <v>153</v>
      </c>
      <c r="W137" s="8" t="s">
        <v>155</v>
      </c>
      <c r="X137" s="16">
        <f t="shared" si="2"/>
        <v>0.4</v>
      </c>
      <c r="Y137" s="15" t="str">
        <f t="shared" si="3"/>
        <v>no</v>
      </c>
      <c r="Z137" s="8" t="s">
        <v>114</v>
      </c>
      <c r="AA137" s="8"/>
    </row>
    <row r="138" ht="15.75" customHeight="1">
      <c r="A138" s="8" t="s">
        <v>851</v>
      </c>
      <c r="B138" s="9" t="s">
        <v>848</v>
      </c>
      <c r="C138" s="8" t="s">
        <v>171</v>
      </c>
      <c r="D138" s="8" t="s">
        <v>98</v>
      </c>
      <c r="E138" s="8" t="s">
        <v>76</v>
      </c>
      <c r="F138" s="8" t="s">
        <v>852</v>
      </c>
      <c r="G138" s="11">
        <v>112.0</v>
      </c>
      <c r="H138" s="11">
        <v>58330.0</v>
      </c>
      <c r="I138" s="12">
        <f t="shared" si="1"/>
        <v>-519.8035714</v>
      </c>
      <c r="J138" s="14"/>
      <c r="K138" s="8" t="s">
        <v>85</v>
      </c>
      <c r="L138" s="14">
        <v>45.0</v>
      </c>
      <c r="M138" s="14">
        <v>30.0</v>
      </c>
      <c r="N138" s="14"/>
      <c r="O138" s="14"/>
      <c r="P138" s="14"/>
      <c r="Q138" s="14"/>
      <c r="R138" s="14"/>
      <c r="S138" s="14"/>
      <c r="T138" s="14"/>
      <c r="U138" s="8" t="s">
        <v>850</v>
      </c>
      <c r="V138" s="8" t="s">
        <v>153</v>
      </c>
      <c r="W138" s="8" t="s">
        <v>155</v>
      </c>
      <c r="X138" s="16">
        <f t="shared" si="2"/>
        <v>0.4</v>
      </c>
      <c r="Y138" s="15" t="str">
        <f t="shared" si="3"/>
        <v>no</v>
      </c>
      <c r="Z138" s="8" t="s">
        <v>114</v>
      </c>
      <c r="AA138" s="8"/>
    </row>
    <row r="139" ht="15.75" customHeight="1">
      <c r="A139" s="8" t="s">
        <v>853</v>
      </c>
      <c r="B139" s="9" t="s">
        <v>854</v>
      </c>
      <c r="C139" s="8" t="s">
        <v>171</v>
      </c>
      <c r="D139" s="8" t="s">
        <v>83</v>
      </c>
      <c r="E139" s="8" t="s">
        <v>76</v>
      </c>
      <c r="F139" s="8" t="s">
        <v>855</v>
      </c>
      <c r="G139" s="11">
        <v>144668.0</v>
      </c>
      <c r="H139" s="11">
        <v>49000.0</v>
      </c>
      <c r="I139" s="12">
        <f t="shared" si="1"/>
        <v>0.6612934443</v>
      </c>
      <c r="J139" s="14"/>
      <c r="K139" s="8" t="s">
        <v>856</v>
      </c>
      <c r="L139" s="14">
        <v>60.0</v>
      </c>
      <c r="M139" s="14">
        <v>45.0</v>
      </c>
      <c r="N139" s="14"/>
      <c r="O139" s="14"/>
      <c r="P139" s="14"/>
      <c r="Q139" s="14"/>
      <c r="R139" s="14"/>
      <c r="S139" s="14"/>
      <c r="T139" s="14"/>
      <c r="U139" s="8" t="s">
        <v>857</v>
      </c>
      <c r="V139" s="8" t="s">
        <v>153</v>
      </c>
      <c r="W139" s="8" t="s">
        <v>155</v>
      </c>
      <c r="X139" s="16">
        <f t="shared" si="2"/>
        <v>0.4</v>
      </c>
      <c r="Y139" s="15" t="str">
        <f t="shared" si="3"/>
        <v>no</v>
      </c>
      <c r="Z139" s="8" t="s">
        <v>114</v>
      </c>
      <c r="AA139" s="8"/>
    </row>
    <row r="140" ht="15.75" customHeight="1">
      <c r="A140" s="8" t="s">
        <v>858</v>
      </c>
      <c r="B140" s="9" t="s">
        <v>854</v>
      </c>
      <c r="C140" s="8" t="s">
        <v>171</v>
      </c>
      <c r="D140" s="8" t="s">
        <v>83</v>
      </c>
      <c r="E140" s="8" t="s">
        <v>76</v>
      </c>
      <c r="F140" s="8" t="s">
        <v>859</v>
      </c>
      <c r="G140" s="11">
        <v>144668.0</v>
      </c>
      <c r="H140" s="11">
        <v>49000.0</v>
      </c>
      <c r="I140" s="12">
        <f t="shared" si="1"/>
        <v>0.6612934443</v>
      </c>
      <c r="J140" s="14"/>
      <c r="K140" s="8" t="s">
        <v>175</v>
      </c>
      <c r="L140" s="14">
        <v>60.0</v>
      </c>
      <c r="M140" s="14">
        <v>45.0</v>
      </c>
      <c r="N140" s="14"/>
      <c r="O140" s="14"/>
      <c r="P140" s="14"/>
      <c r="Q140" s="14"/>
      <c r="R140" s="14"/>
      <c r="S140" s="14"/>
      <c r="T140" s="14"/>
      <c r="U140" s="8" t="s">
        <v>857</v>
      </c>
      <c r="V140" s="8" t="s">
        <v>153</v>
      </c>
      <c r="W140" s="8" t="s">
        <v>155</v>
      </c>
      <c r="X140" s="16">
        <f t="shared" si="2"/>
        <v>0.4</v>
      </c>
      <c r="Y140" s="15" t="str">
        <f t="shared" si="3"/>
        <v>no</v>
      </c>
      <c r="Z140" s="8" t="s">
        <v>114</v>
      </c>
      <c r="AA140" s="8"/>
    </row>
    <row r="141" ht="15.75" customHeight="1">
      <c r="A141" s="8" t="s">
        <v>860</v>
      </c>
      <c r="B141" s="9" t="s">
        <v>861</v>
      </c>
      <c r="C141" s="8" t="s">
        <v>171</v>
      </c>
      <c r="D141" s="8" t="s">
        <v>83</v>
      </c>
      <c r="E141" s="8" t="s">
        <v>76</v>
      </c>
      <c r="F141" s="8" t="s">
        <v>862</v>
      </c>
      <c r="G141" s="11">
        <v>144668.0</v>
      </c>
      <c r="H141" s="11">
        <v>49000.0</v>
      </c>
      <c r="I141" s="12">
        <f t="shared" si="1"/>
        <v>0.6612934443</v>
      </c>
      <c r="J141" s="14"/>
      <c r="K141" s="8" t="s">
        <v>85</v>
      </c>
      <c r="L141" s="14">
        <v>50.0</v>
      </c>
      <c r="M141" s="14">
        <v>50.0</v>
      </c>
      <c r="N141" s="14"/>
      <c r="O141" s="14"/>
      <c r="P141" s="14"/>
      <c r="Q141" s="14"/>
      <c r="R141" s="14"/>
      <c r="S141" s="14"/>
      <c r="T141" s="14"/>
      <c r="U141" s="8" t="s">
        <v>863</v>
      </c>
      <c r="V141" s="8" t="s">
        <v>846</v>
      </c>
      <c r="W141" s="8" t="s">
        <v>93</v>
      </c>
      <c r="X141" s="16">
        <f t="shared" si="2"/>
        <v>0.4</v>
      </c>
      <c r="Y141" s="15" t="str">
        <f t="shared" si="3"/>
        <v>no</v>
      </c>
      <c r="Z141" s="8" t="s">
        <v>114</v>
      </c>
      <c r="AA141" s="8"/>
    </row>
    <row r="142" ht="15.75" customHeight="1">
      <c r="A142" s="8" t="s">
        <v>864</v>
      </c>
      <c r="B142" s="9" t="s">
        <v>865</v>
      </c>
      <c r="C142" s="8" t="s">
        <v>171</v>
      </c>
      <c r="D142" s="8" t="s">
        <v>98</v>
      </c>
      <c r="E142" s="8" t="s">
        <v>76</v>
      </c>
      <c r="F142" s="8" t="s">
        <v>866</v>
      </c>
      <c r="G142" s="11">
        <v>174.0</v>
      </c>
      <c r="H142" s="11">
        <v>90565.0</v>
      </c>
      <c r="I142" s="12">
        <f t="shared" si="1"/>
        <v>-519.4885057</v>
      </c>
      <c r="J142" s="14">
        <v>0.0</v>
      </c>
      <c r="K142" s="8" t="s">
        <v>126</v>
      </c>
      <c r="L142" s="14"/>
      <c r="M142" s="14"/>
      <c r="N142" s="14"/>
      <c r="O142" s="14"/>
      <c r="P142" s="14"/>
      <c r="Q142" s="14"/>
      <c r="R142" s="14"/>
      <c r="S142" s="14"/>
      <c r="T142" s="14"/>
      <c r="U142" s="8" t="s">
        <v>867</v>
      </c>
      <c r="V142" s="8"/>
      <c r="W142" s="8" t="s">
        <v>130</v>
      </c>
      <c r="X142" s="16">
        <f t="shared" si="2"/>
        <v>0.4</v>
      </c>
      <c r="Y142" s="15" t="str">
        <f t="shared" si="3"/>
        <v>no</v>
      </c>
      <c r="Z142" s="8" t="s">
        <v>114</v>
      </c>
      <c r="AA142" s="8"/>
    </row>
    <row r="143" ht="15.75" customHeight="1">
      <c r="A143" s="8" t="s">
        <v>868</v>
      </c>
      <c r="B143" s="9" t="s">
        <v>869</v>
      </c>
      <c r="C143" s="8" t="s">
        <v>208</v>
      </c>
      <c r="D143" s="8" t="s">
        <v>99</v>
      </c>
      <c r="E143" s="8" t="s">
        <v>76</v>
      </c>
      <c r="F143" s="8" t="s">
        <v>870</v>
      </c>
      <c r="G143" s="11">
        <v>286733.0</v>
      </c>
      <c r="H143" s="11">
        <v>97119.0</v>
      </c>
      <c r="I143" s="12">
        <f t="shared" si="1"/>
        <v>0.6612911663</v>
      </c>
      <c r="J143" s="14">
        <v>1.0</v>
      </c>
      <c r="K143" s="8" t="s">
        <v>85</v>
      </c>
      <c r="L143" s="14"/>
      <c r="M143" s="14"/>
      <c r="N143" s="14"/>
      <c r="O143" s="14"/>
      <c r="P143" s="14"/>
      <c r="Q143" s="14"/>
      <c r="R143" s="14"/>
      <c r="S143" s="14"/>
      <c r="T143" s="14"/>
      <c r="U143" s="8" t="s">
        <v>871</v>
      </c>
      <c r="V143" s="8" t="s">
        <v>155</v>
      </c>
      <c r="W143" s="8" t="s">
        <v>155</v>
      </c>
      <c r="X143" s="16">
        <f t="shared" si="2"/>
        <v>0.4</v>
      </c>
      <c r="Y143" s="15" t="str">
        <f t="shared" si="3"/>
        <v>no</v>
      </c>
      <c r="Z143" s="8" t="s">
        <v>114</v>
      </c>
      <c r="AA143" s="8"/>
    </row>
    <row r="144" ht="15.75" customHeight="1">
      <c r="A144" s="8" t="s">
        <v>872</v>
      </c>
      <c r="B144" s="9" t="s">
        <v>873</v>
      </c>
      <c r="C144" s="8" t="s">
        <v>208</v>
      </c>
      <c r="D144" s="8" t="s">
        <v>70</v>
      </c>
      <c r="E144" s="8" t="s">
        <v>76</v>
      </c>
      <c r="F144" s="8" t="s">
        <v>874</v>
      </c>
      <c r="G144" s="11">
        <v>490000.0</v>
      </c>
      <c r="H144" s="11">
        <v>343000.0</v>
      </c>
      <c r="I144" s="12">
        <f t="shared" si="1"/>
        <v>0.3</v>
      </c>
      <c r="J144" s="14">
        <v>0.0</v>
      </c>
      <c r="K144" s="8" t="s">
        <v>126</v>
      </c>
      <c r="L144" s="14"/>
      <c r="M144" s="14"/>
      <c r="N144" s="14"/>
      <c r="O144" s="14"/>
      <c r="P144" s="14"/>
      <c r="Q144" s="14"/>
      <c r="R144" s="14"/>
      <c r="S144" s="14"/>
      <c r="T144" s="14"/>
      <c r="U144" s="8" t="s">
        <v>875</v>
      </c>
      <c r="V144" s="8"/>
      <c r="W144" s="8" t="s">
        <v>130</v>
      </c>
      <c r="X144" s="16">
        <f t="shared" si="2"/>
        <v>0.4</v>
      </c>
      <c r="Y144" s="15" t="str">
        <f t="shared" si="3"/>
        <v>no</v>
      </c>
      <c r="Z144" s="8" t="s">
        <v>114</v>
      </c>
      <c r="AA144" s="8"/>
    </row>
    <row r="145" ht="15.75" customHeight="1">
      <c r="A145" s="8" t="s">
        <v>876</v>
      </c>
      <c r="B145" s="9" t="s">
        <v>877</v>
      </c>
      <c r="C145" s="8" t="s">
        <v>208</v>
      </c>
      <c r="D145" s="8" t="s">
        <v>70</v>
      </c>
      <c r="E145" s="8" t="s">
        <v>76</v>
      </c>
      <c r="F145" s="8" t="s">
        <v>878</v>
      </c>
      <c r="G145" s="11">
        <v>690000.0</v>
      </c>
      <c r="H145" s="11">
        <v>483000.0</v>
      </c>
      <c r="I145" s="12">
        <f t="shared" si="1"/>
        <v>0.3</v>
      </c>
      <c r="J145" s="14">
        <v>0.0</v>
      </c>
      <c r="K145" s="8" t="s">
        <v>126</v>
      </c>
      <c r="L145" s="14"/>
      <c r="M145" s="14"/>
      <c r="N145" s="14"/>
      <c r="O145" s="14"/>
      <c r="P145" s="14"/>
      <c r="Q145" s="14"/>
      <c r="R145" s="14"/>
      <c r="S145" s="14"/>
      <c r="T145" s="14"/>
      <c r="U145" s="8" t="s">
        <v>879</v>
      </c>
      <c r="V145" s="8"/>
      <c r="W145" s="8" t="s">
        <v>130</v>
      </c>
      <c r="X145" s="16">
        <f t="shared" si="2"/>
        <v>0.4</v>
      </c>
      <c r="Y145" s="15" t="str">
        <f t="shared" si="3"/>
        <v>no</v>
      </c>
      <c r="Z145" s="8" t="s">
        <v>114</v>
      </c>
      <c r="AA145" s="8"/>
    </row>
    <row r="146" ht="15.75" customHeight="1">
      <c r="A146" s="8" t="s">
        <v>880</v>
      </c>
      <c r="B146" s="9" t="s">
        <v>881</v>
      </c>
      <c r="C146" s="8" t="s">
        <v>208</v>
      </c>
      <c r="D146" s="8" t="s">
        <v>83</v>
      </c>
      <c r="E146" s="8" t="s">
        <v>76</v>
      </c>
      <c r="F146" s="8" t="s">
        <v>882</v>
      </c>
      <c r="G146" s="11">
        <v>112191.0</v>
      </c>
      <c r="H146" s="11">
        <v>38000.0</v>
      </c>
      <c r="I146" s="12">
        <f t="shared" si="1"/>
        <v>0.661291904</v>
      </c>
      <c r="J146" s="14"/>
      <c r="K146" s="8" t="s">
        <v>883</v>
      </c>
      <c r="L146" s="14"/>
      <c r="M146" s="14"/>
      <c r="N146" s="14"/>
      <c r="O146" s="14"/>
      <c r="P146" s="14"/>
      <c r="Q146" s="14"/>
      <c r="R146" s="14"/>
      <c r="S146" s="14"/>
      <c r="T146" s="14"/>
      <c r="U146" s="8" t="s">
        <v>884</v>
      </c>
      <c r="V146" s="8" t="s">
        <v>885</v>
      </c>
      <c r="W146" s="8" t="s">
        <v>155</v>
      </c>
      <c r="X146" s="16">
        <f t="shared" si="2"/>
        <v>0.3</v>
      </c>
      <c r="Y146" s="15" t="str">
        <f t="shared" si="3"/>
        <v>no</v>
      </c>
      <c r="Z146" s="8" t="s">
        <v>114</v>
      </c>
      <c r="AA146" s="8"/>
    </row>
    <row r="147" ht="15.75" customHeight="1">
      <c r="A147" s="8" t="s">
        <v>886</v>
      </c>
      <c r="B147" s="9" t="s">
        <v>887</v>
      </c>
      <c r="C147" s="8" t="s">
        <v>208</v>
      </c>
      <c r="D147" s="8" t="s">
        <v>164</v>
      </c>
      <c r="E147" s="8" t="s">
        <v>94</v>
      </c>
      <c r="F147" s="8" t="s">
        <v>888</v>
      </c>
      <c r="G147" s="11">
        <v>208000.0</v>
      </c>
      <c r="H147" s="11">
        <v>160000.0</v>
      </c>
      <c r="I147" s="12">
        <f t="shared" si="1"/>
        <v>0.2307692308</v>
      </c>
      <c r="J147" s="14">
        <v>1.0</v>
      </c>
      <c r="K147" s="8" t="s">
        <v>85</v>
      </c>
      <c r="L147" s="14"/>
      <c r="M147" s="14"/>
      <c r="N147" s="14"/>
      <c r="O147" s="14"/>
      <c r="P147" s="14"/>
      <c r="Q147" s="14"/>
      <c r="R147" s="14"/>
      <c r="S147" s="14"/>
      <c r="T147" s="14"/>
      <c r="U147" s="8" t="s">
        <v>889</v>
      </c>
      <c r="V147" s="8" t="s">
        <v>890</v>
      </c>
      <c r="W147" s="8" t="s">
        <v>155</v>
      </c>
      <c r="X147" s="16">
        <f t="shared" si="2"/>
        <v>0.4</v>
      </c>
      <c r="Y147" s="15" t="str">
        <f t="shared" si="3"/>
        <v>no</v>
      </c>
      <c r="Z147" s="8" t="s">
        <v>114</v>
      </c>
      <c r="AA147" s="8"/>
    </row>
    <row r="148" ht="15.75" customHeight="1">
      <c r="A148" s="8" t="s">
        <v>891</v>
      </c>
      <c r="B148" s="9" t="s">
        <v>892</v>
      </c>
      <c r="C148" s="8" t="s">
        <v>208</v>
      </c>
      <c r="D148" s="8" t="s">
        <v>164</v>
      </c>
      <c r="E148" s="8" t="s">
        <v>94</v>
      </c>
      <c r="F148" s="8" t="s">
        <v>893</v>
      </c>
      <c r="G148" s="11">
        <v>130000.0</v>
      </c>
      <c r="H148" s="11">
        <v>100000.0</v>
      </c>
      <c r="I148" s="12">
        <f t="shared" si="1"/>
        <v>0.2307692308</v>
      </c>
      <c r="J148" s="14">
        <v>2.0</v>
      </c>
      <c r="K148" s="8" t="s">
        <v>175</v>
      </c>
      <c r="L148" s="14"/>
      <c r="M148" s="14"/>
      <c r="N148" s="14"/>
      <c r="O148" s="14"/>
      <c r="P148" s="14"/>
      <c r="Q148" s="14"/>
      <c r="R148" s="14"/>
      <c r="S148" s="14"/>
      <c r="T148" s="14"/>
      <c r="U148" s="8" t="s">
        <v>894</v>
      </c>
      <c r="V148" s="8" t="s">
        <v>895</v>
      </c>
      <c r="W148" s="8" t="s">
        <v>179</v>
      </c>
      <c r="X148" s="16">
        <f t="shared" si="2"/>
        <v>0.4</v>
      </c>
      <c r="Y148" s="15" t="str">
        <f t="shared" si="3"/>
        <v>no</v>
      </c>
      <c r="Z148" s="8" t="s">
        <v>114</v>
      </c>
      <c r="AA148" s="8"/>
    </row>
    <row r="149" ht="15.75" customHeight="1">
      <c r="A149" s="8" t="s">
        <v>896</v>
      </c>
      <c r="B149" s="9" t="s">
        <v>897</v>
      </c>
      <c r="C149" s="8" t="s">
        <v>208</v>
      </c>
      <c r="D149" s="8" t="s">
        <v>116</v>
      </c>
      <c r="E149" s="8" t="s">
        <v>76</v>
      </c>
      <c r="F149" s="8" t="s">
        <v>898</v>
      </c>
      <c r="G149" s="11">
        <v>350000.0</v>
      </c>
      <c r="H149" s="11">
        <v>245000.0</v>
      </c>
      <c r="I149" s="12">
        <f t="shared" si="1"/>
        <v>0.3</v>
      </c>
      <c r="J149" s="14"/>
      <c r="K149" s="8" t="s">
        <v>85</v>
      </c>
      <c r="L149" s="14"/>
      <c r="M149" s="14"/>
      <c r="N149" s="14"/>
      <c r="O149" s="14"/>
      <c r="P149" s="14"/>
      <c r="Q149" s="14"/>
      <c r="R149" s="14"/>
      <c r="S149" s="14"/>
      <c r="T149" s="14"/>
      <c r="U149" s="8" t="s">
        <v>899</v>
      </c>
      <c r="V149" s="8" t="s">
        <v>890</v>
      </c>
      <c r="W149" s="8" t="s">
        <v>155</v>
      </c>
      <c r="X149" s="16">
        <f t="shared" si="2"/>
        <v>0.3</v>
      </c>
      <c r="Y149" s="15" t="str">
        <f t="shared" si="3"/>
        <v>no</v>
      </c>
      <c r="Z149" s="8" t="s">
        <v>114</v>
      </c>
      <c r="AA149" s="8"/>
    </row>
    <row r="150" ht="15.75" customHeight="1">
      <c r="A150" s="8" t="s">
        <v>900</v>
      </c>
      <c r="B150" s="9" t="s">
        <v>901</v>
      </c>
      <c r="C150" s="8" t="s">
        <v>902</v>
      </c>
      <c r="D150" s="8" t="s">
        <v>116</v>
      </c>
      <c r="E150" s="8" t="s">
        <v>76</v>
      </c>
      <c r="F150" s="8" t="s">
        <v>903</v>
      </c>
      <c r="G150" s="11">
        <v>800.0</v>
      </c>
      <c r="H150" s="11">
        <v>560.0</v>
      </c>
      <c r="I150" s="12">
        <f t="shared" si="1"/>
        <v>0.3</v>
      </c>
      <c r="J150" s="14">
        <v>2.0</v>
      </c>
      <c r="K150" s="8" t="s">
        <v>175</v>
      </c>
      <c r="L150" s="14"/>
      <c r="M150" s="14"/>
      <c r="N150" s="14"/>
      <c r="O150" s="14"/>
      <c r="P150" s="14"/>
      <c r="Q150" s="14"/>
      <c r="R150" s="14"/>
      <c r="S150" s="14"/>
      <c r="T150" s="14"/>
      <c r="U150" s="8" t="s">
        <v>904</v>
      </c>
      <c r="V150" s="8" t="s">
        <v>153</v>
      </c>
      <c r="W150" s="8" t="s">
        <v>155</v>
      </c>
      <c r="X150" s="16">
        <f t="shared" si="2"/>
        <v>0.4</v>
      </c>
      <c r="Y150" s="15" t="str">
        <f t="shared" si="3"/>
        <v>no</v>
      </c>
      <c r="Z150" s="8" t="s">
        <v>114</v>
      </c>
      <c r="AA150" s="8"/>
    </row>
    <row r="151" ht="15.75" customHeight="1">
      <c r="A151" s="8" t="s">
        <v>905</v>
      </c>
      <c r="B151" s="9" t="s">
        <v>906</v>
      </c>
      <c r="C151" s="8" t="s">
        <v>902</v>
      </c>
      <c r="D151" s="8" t="s">
        <v>99</v>
      </c>
      <c r="E151" s="8" t="s">
        <v>76</v>
      </c>
      <c r="F151" s="8"/>
      <c r="G151" s="11">
        <v>97199.0</v>
      </c>
      <c r="H151" s="11">
        <v>32922.0</v>
      </c>
      <c r="I151" s="12">
        <f t="shared" si="1"/>
        <v>0.6612928117</v>
      </c>
      <c r="J151" s="14"/>
      <c r="K151" s="8" t="s">
        <v>907</v>
      </c>
      <c r="L151" s="14">
        <v>5.0</v>
      </c>
      <c r="M151" s="14">
        <v>11.0</v>
      </c>
      <c r="N151" s="14"/>
      <c r="O151" s="14"/>
      <c r="P151" s="14"/>
      <c r="Q151" s="14"/>
      <c r="R151" s="14"/>
      <c r="S151" s="14"/>
      <c r="T151" s="14"/>
      <c r="U151" s="8" t="s">
        <v>908</v>
      </c>
      <c r="V151" s="8" t="s">
        <v>909</v>
      </c>
      <c r="W151" s="8" t="s">
        <v>155</v>
      </c>
      <c r="X151" s="16">
        <f t="shared" si="2"/>
        <v>0.4</v>
      </c>
      <c r="Y151" s="15" t="str">
        <f t="shared" si="3"/>
        <v>no</v>
      </c>
      <c r="Z151" s="8" t="s">
        <v>114</v>
      </c>
      <c r="AA151" s="8"/>
    </row>
    <row r="152" ht="15.75" customHeight="1">
      <c r="A152" s="8" t="s">
        <v>910</v>
      </c>
      <c r="B152" s="9" t="s">
        <v>911</v>
      </c>
      <c r="C152" s="8" t="s">
        <v>902</v>
      </c>
      <c r="D152" s="8" t="s">
        <v>83</v>
      </c>
      <c r="E152" s="8" t="s">
        <v>76</v>
      </c>
      <c r="F152" s="8" t="s">
        <v>912</v>
      </c>
      <c r="G152" s="11">
        <v>94772.0</v>
      </c>
      <c r="H152" s="11">
        <v>32100.0</v>
      </c>
      <c r="I152" s="12">
        <f t="shared" si="1"/>
        <v>0.6612923648</v>
      </c>
      <c r="J152" s="14">
        <v>20.0</v>
      </c>
      <c r="K152" s="8" t="s">
        <v>913</v>
      </c>
      <c r="L152" s="14"/>
      <c r="M152" s="14"/>
      <c r="N152" s="14"/>
      <c r="O152" s="14"/>
      <c r="P152" s="14"/>
      <c r="Q152" s="14"/>
      <c r="R152" s="14"/>
      <c r="S152" s="14"/>
      <c r="T152" s="14"/>
      <c r="U152" s="8" t="s">
        <v>914</v>
      </c>
      <c r="V152" s="8" t="s">
        <v>915</v>
      </c>
      <c r="W152" s="8" t="s">
        <v>179</v>
      </c>
      <c r="X152" s="16">
        <f t="shared" si="2"/>
        <v>0.4</v>
      </c>
      <c r="Y152" s="15" t="str">
        <f t="shared" si="3"/>
        <v>no</v>
      </c>
      <c r="Z152" s="8" t="s">
        <v>114</v>
      </c>
      <c r="AA152" s="8"/>
    </row>
    <row r="153" ht="15.75" customHeight="1">
      <c r="A153" s="8" t="s">
        <v>916</v>
      </c>
      <c r="B153" s="9" t="s">
        <v>917</v>
      </c>
      <c r="C153" s="8" t="s">
        <v>902</v>
      </c>
      <c r="D153" s="8" t="s">
        <v>83</v>
      </c>
      <c r="E153" s="8" t="s">
        <v>76</v>
      </c>
      <c r="F153" s="8" t="s">
        <v>912</v>
      </c>
      <c r="G153" s="11">
        <v>94772.0</v>
      </c>
      <c r="H153" s="11">
        <v>32100.0</v>
      </c>
      <c r="I153" s="12">
        <f t="shared" si="1"/>
        <v>0.6612923648</v>
      </c>
      <c r="J153" s="14">
        <v>12.0</v>
      </c>
      <c r="K153" s="8" t="s">
        <v>918</v>
      </c>
      <c r="L153" s="14"/>
      <c r="M153" s="14"/>
      <c r="N153" s="14"/>
      <c r="O153" s="14"/>
      <c r="P153" s="14"/>
      <c r="Q153" s="14"/>
      <c r="R153" s="14"/>
      <c r="S153" s="14"/>
      <c r="T153" s="14"/>
      <c r="U153" s="8" t="s">
        <v>919</v>
      </c>
      <c r="V153" s="8" t="s">
        <v>920</v>
      </c>
      <c r="W153" s="8" t="s">
        <v>179</v>
      </c>
      <c r="X153" s="16">
        <f t="shared" si="2"/>
        <v>0.4</v>
      </c>
      <c r="Y153" s="15" t="str">
        <f t="shared" si="3"/>
        <v>no</v>
      </c>
      <c r="Z153" s="8" t="s">
        <v>114</v>
      </c>
      <c r="AA153" s="8"/>
    </row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AA$153"/>
  <dataValidations>
    <dataValidation type="list" allowBlank="1" sqref="E5:E153">
      <formula1>"Disponible,Disponible (consignación),A pedido,Pieza única"</formula1>
    </dataValidation>
    <dataValidation type="list" allowBlank="1" sqref="Q5:Q153">
      <formula1>"sí,no"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B43"/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11.0"/>
    <col customWidth="1" min="3" max="3" width="9.0"/>
    <col customWidth="1" min="4" max="4" width="16.0"/>
    <col customWidth="1" min="5" max="5" width="26.0"/>
    <col customWidth="1" min="6" max="6" width="76.0"/>
    <col customWidth="1" min="7" max="26" width="8.71"/>
  </cols>
  <sheetData>
    <row r="1">
      <c r="A1" s="1" t="s">
        <v>12</v>
      </c>
    </row>
    <row r="2">
      <c r="A2" s="4" t="s">
        <v>17</v>
      </c>
    </row>
    <row r="4">
      <c r="A4" s="5" t="s">
        <v>27</v>
      </c>
      <c r="B4" s="5" t="s">
        <v>30</v>
      </c>
      <c r="C4" s="5" t="s">
        <v>31</v>
      </c>
      <c r="D4" s="5" t="s">
        <v>32</v>
      </c>
      <c r="E4" s="5" t="s">
        <v>33</v>
      </c>
      <c r="F4" s="5" t="s">
        <v>34</v>
      </c>
    </row>
    <row r="5">
      <c r="A5" s="7" t="s">
        <v>38</v>
      </c>
      <c r="B5" s="8">
        <f>COUNTA('Inventario final'!O5:O153)</f>
        <v>0</v>
      </c>
      <c r="C5" s="8">
        <f t="shared" ref="C5:C14" si="1">149-B5</f>
        <v>149</v>
      </c>
      <c r="D5" s="10" t="s">
        <v>73</v>
      </c>
      <c r="E5" s="8" t="s">
        <v>74</v>
      </c>
      <c r="F5" s="9" t="s">
        <v>75</v>
      </c>
    </row>
    <row r="6">
      <c r="A6" s="7" t="s">
        <v>77</v>
      </c>
      <c r="B6" s="8">
        <f>COUNTA('Inventario final'!T5:T153)</f>
        <v>0</v>
      </c>
      <c r="C6" s="8">
        <f t="shared" si="1"/>
        <v>149</v>
      </c>
      <c r="D6" s="10" t="s">
        <v>73</v>
      </c>
      <c r="E6" s="8" t="s">
        <v>79</v>
      </c>
      <c r="F6" s="9" t="s">
        <v>80</v>
      </c>
    </row>
    <row r="7">
      <c r="A7" s="7" t="s">
        <v>52</v>
      </c>
      <c r="B7" s="8">
        <f>COUNTA('Inventario final'!S5:S153)</f>
        <v>0</v>
      </c>
      <c r="C7" s="8">
        <f t="shared" si="1"/>
        <v>149</v>
      </c>
      <c r="D7" s="10" t="s">
        <v>73</v>
      </c>
      <c r="E7" s="8" t="s">
        <v>81</v>
      </c>
      <c r="F7" s="9" t="s">
        <v>82</v>
      </c>
    </row>
    <row r="8">
      <c r="A8" s="7" t="s">
        <v>49</v>
      </c>
      <c r="B8" s="8">
        <f>COUNTA('Inventario final'!P5:P153)</f>
        <v>0</v>
      </c>
      <c r="C8" s="8">
        <f t="shared" si="1"/>
        <v>149</v>
      </c>
      <c r="D8" s="15" t="s">
        <v>84</v>
      </c>
      <c r="E8" s="8" t="s">
        <v>86</v>
      </c>
      <c r="F8" s="9" t="s">
        <v>87</v>
      </c>
    </row>
    <row r="9">
      <c r="A9" s="7" t="s">
        <v>51</v>
      </c>
      <c r="B9" s="8">
        <f>COUNTA('Inventario final'!R5:R153)</f>
        <v>0</v>
      </c>
      <c r="C9" s="8">
        <f t="shared" si="1"/>
        <v>149</v>
      </c>
      <c r="D9" s="15" t="s">
        <v>84</v>
      </c>
      <c r="E9" s="8" t="s">
        <v>88</v>
      </c>
      <c r="F9" s="9" t="s">
        <v>89</v>
      </c>
    </row>
    <row r="10">
      <c r="A10" s="7" t="s">
        <v>50</v>
      </c>
      <c r="B10" s="8">
        <f>COUNTA('Inventario final'!Q5:Q153)</f>
        <v>0</v>
      </c>
      <c r="C10" s="8">
        <f t="shared" si="1"/>
        <v>149</v>
      </c>
      <c r="D10" s="15" t="s">
        <v>84</v>
      </c>
      <c r="E10" s="8" t="s">
        <v>88</v>
      </c>
      <c r="F10" s="9" t="s">
        <v>96</v>
      </c>
    </row>
    <row r="11">
      <c r="A11" s="7" t="s">
        <v>97</v>
      </c>
      <c r="B11" s="8">
        <f>COUNTA('Inventario final'!M5:M153)</f>
        <v>32</v>
      </c>
      <c r="C11" s="8">
        <f t="shared" si="1"/>
        <v>117</v>
      </c>
      <c r="D11" s="15" t="s">
        <v>84</v>
      </c>
      <c r="E11" s="8" t="s">
        <v>100</v>
      </c>
      <c r="F11" s="9" t="s">
        <v>101</v>
      </c>
    </row>
    <row r="12">
      <c r="A12" s="7" t="s">
        <v>44</v>
      </c>
      <c r="B12" s="8">
        <f>COUNTA('Inventario final'!J5:J153)</f>
        <v>72</v>
      </c>
      <c r="C12" s="8">
        <f t="shared" si="1"/>
        <v>77</v>
      </c>
      <c r="D12" s="10" t="s">
        <v>73</v>
      </c>
      <c r="E12" s="8" t="s">
        <v>104</v>
      </c>
      <c r="F12" s="9" t="s">
        <v>105</v>
      </c>
    </row>
    <row r="13">
      <c r="A13" s="7" t="s">
        <v>36</v>
      </c>
      <c r="B13" s="8">
        <f>COUNTA('Inventario final'!C5:C153)</f>
        <v>124</v>
      </c>
      <c r="C13" s="8">
        <f t="shared" si="1"/>
        <v>25</v>
      </c>
      <c r="D13" s="10" t="s">
        <v>73</v>
      </c>
      <c r="E13" s="8" t="s">
        <v>88</v>
      </c>
      <c r="F13" s="9" t="s">
        <v>108</v>
      </c>
    </row>
    <row r="14">
      <c r="A14" s="7" t="s">
        <v>26</v>
      </c>
      <c r="B14" s="8">
        <f>COUNTA('Inventario final'!G5:G153)</f>
        <v>148</v>
      </c>
      <c r="C14" s="8">
        <f t="shared" si="1"/>
        <v>1</v>
      </c>
      <c r="D14" s="10" t="s">
        <v>73</v>
      </c>
      <c r="E14" s="8" t="s">
        <v>88</v>
      </c>
      <c r="F14" s="9" t="s">
        <v>113</v>
      </c>
    </row>
    <row r="16">
      <c r="A16" s="2" t="s">
        <v>115</v>
      </c>
      <c r="B16" s="17">
        <f>COUNTIF('Inventario final'!Y5:Y153,"SÍ")</f>
        <v>0</v>
      </c>
    </row>
    <row r="17">
      <c r="A17" s="2" t="s">
        <v>127</v>
      </c>
      <c r="B17" s="19">
        <f>AVERAGE('Inventario final'!X5:X153)</f>
        <v>0.3523489933</v>
      </c>
    </row>
    <row r="19">
      <c r="A19" s="2" t="s">
        <v>133</v>
      </c>
      <c r="B19" s="20">
        <f>SUM('Inventario final'!G5:G153)</f>
        <v>58375365</v>
      </c>
    </row>
    <row r="20">
      <c r="A20" s="4" t="s">
        <v>173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B43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6.0"/>
    <col customWidth="1" min="2" max="2" width="11.0"/>
    <col customWidth="1" min="3" max="3" width="15.0"/>
    <col customWidth="1" min="4" max="4" width="26.0"/>
    <col customWidth="1" min="5" max="5" width="13.0"/>
    <col customWidth="1" min="6" max="6" width="11.0"/>
    <col customWidth="1" min="7" max="7" width="26.0"/>
    <col customWidth="1" min="8" max="8" width="30.0"/>
    <col customWidth="1" min="9" max="26" width="8.71"/>
  </cols>
  <sheetData>
    <row r="1">
      <c r="A1" s="1" t="s">
        <v>57</v>
      </c>
    </row>
    <row r="2">
      <c r="A2" s="4" t="s">
        <v>58</v>
      </c>
    </row>
    <row r="4" ht="30.0" customHeight="1">
      <c r="A4" s="6" t="s">
        <v>37</v>
      </c>
      <c r="B4" s="6" t="s">
        <v>64</v>
      </c>
      <c r="C4" s="6" t="s">
        <v>65</v>
      </c>
      <c r="D4" s="6" t="s">
        <v>66</v>
      </c>
      <c r="E4" s="6" t="s">
        <v>49</v>
      </c>
      <c r="F4" s="6" t="s">
        <v>50</v>
      </c>
      <c r="G4" s="6" t="s">
        <v>69</v>
      </c>
      <c r="H4" s="6" t="s">
        <v>71</v>
      </c>
    </row>
    <row r="5">
      <c r="A5" s="7" t="s">
        <v>72</v>
      </c>
      <c r="B5" s="8">
        <v>36.0</v>
      </c>
      <c r="C5" s="12">
        <f t="shared" ref="C5:C32" si="1">B5/149</f>
        <v>0.2416107383</v>
      </c>
      <c r="D5" s="8" t="s">
        <v>76</v>
      </c>
      <c r="E5" s="13"/>
      <c r="F5" s="13"/>
      <c r="G5" s="13"/>
      <c r="H5" s="13"/>
    </row>
    <row r="6">
      <c r="A6" s="7" t="s">
        <v>83</v>
      </c>
      <c r="B6" s="8">
        <v>18.0</v>
      </c>
      <c r="C6" s="12">
        <f t="shared" si="1"/>
        <v>0.1208053691</v>
      </c>
      <c r="D6" s="8" t="s">
        <v>76</v>
      </c>
      <c r="E6" s="13"/>
      <c r="F6" s="13"/>
      <c r="G6" s="13"/>
      <c r="H6" s="13"/>
    </row>
    <row r="7">
      <c r="A7" s="7" t="s">
        <v>70</v>
      </c>
      <c r="B7" s="8">
        <v>17.0</v>
      </c>
      <c r="C7" s="12">
        <f t="shared" si="1"/>
        <v>0.1140939597</v>
      </c>
      <c r="D7" s="8" t="s">
        <v>76</v>
      </c>
      <c r="E7" s="13"/>
      <c r="F7" s="13"/>
      <c r="G7" s="13"/>
      <c r="H7" s="13"/>
    </row>
    <row r="8">
      <c r="A8" s="7" t="s">
        <v>90</v>
      </c>
      <c r="B8" s="8">
        <v>10.0</v>
      </c>
      <c r="C8" s="12">
        <f t="shared" si="1"/>
        <v>0.06711409396</v>
      </c>
      <c r="D8" s="8" t="s">
        <v>94</v>
      </c>
      <c r="E8" s="13"/>
      <c r="F8" s="13"/>
      <c r="G8" s="13"/>
      <c r="H8" s="13"/>
    </row>
    <row r="9">
      <c r="A9" s="7" t="s">
        <v>95</v>
      </c>
      <c r="B9" s="8">
        <v>7.0</v>
      </c>
      <c r="C9" s="12">
        <f t="shared" si="1"/>
        <v>0.04697986577</v>
      </c>
      <c r="D9" s="8" t="s">
        <v>76</v>
      </c>
      <c r="E9" s="13"/>
      <c r="F9" s="13"/>
      <c r="G9" s="13"/>
      <c r="H9" s="13"/>
    </row>
    <row r="10">
      <c r="A10" s="7" t="s">
        <v>98</v>
      </c>
      <c r="B10" s="8">
        <v>7.0</v>
      </c>
      <c r="C10" s="12">
        <f t="shared" si="1"/>
        <v>0.04697986577</v>
      </c>
      <c r="D10" s="8" t="s">
        <v>76</v>
      </c>
      <c r="E10" s="13"/>
      <c r="F10" s="13"/>
      <c r="G10" s="13"/>
      <c r="H10" s="13"/>
    </row>
    <row r="11">
      <c r="A11" s="7" t="s">
        <v>99</v>
      </c>
      <c r="B11" s="8">
        <v>6.0</v>
      </c>
      <c r="C11" s="12">
        <f t="shared" si="1"/>
        <v>0.04026845638</v>
      </c>
      <c r="D11" s="8" t="s">
        <v>76</v>
      </c>
      <c r="E11" s="13"/>
      <c r="F11" s="13"/>
      <c r="G11" s="13"/>
      <c r="H11" s="13"/>
    </row>
    <row r="12">
      <c r="A12" s="7" t="s">
        <v>102</v>
      </c>
      <c r="B12" s="8">
        <v>6.0</v>
      </c>
      <c r="C12" s="12">
        <f t="shared" si="1"/>
        <v>0.04026845638</v>
      </c>
      <c r="D12" s="8" t="s">
        <v>103</v>
      </c>
      <c r="E12" s="13"/>
      <c r="F12" s="13"/>
      <c r="G12" s="13"/>
      <c r="H12" s="13"/>
    </row>
    <row r="13">
      <c r="A13" s="7" t="s">
        <v>106</v>
      </c>
      <c r="B13" s="8">
        <v>4.0</v>
      </c>
      <c r="C13" s="12">
        <f t="shared" si="1"/>
        <v>0.02684563758</v>
      </c>
      <c r="D13" s="8" t="s">
        <v>76</v>
      </c>
      <c r="E13" s="13"/>
      <c r="F13" s="13"/>
      <c r="G13" s="13"/>
      <c r="H13" s="13"/>
    </row>
    <row r="14">
      <c r="A14" s="7" t="s">
        <v>107</v>
      </c>
      <c r="B14" s="8">
        <v>3.0</v>
      </c>
      <c r="C14" s="12">
        <f t="shared" si="1"/>
        <v>0.02013422819</v>
      </c>
      <c r="D14" s="8" t="s">
        <v>76</v>
      </c>
      <c r="E14" s="13"/>
      <c r="F14" s="13"/>
      <c r="G14" s="13"/>
      <c r="H14" s="13"/>
    </row>
    <row r="15">
      <c r="A15" s="7" t="s">
        <v>109</v>
      </c>
      <c r="B15" s="8">
        <v>3.0</v>
      </c>
      <c r="C15" s="12">
        <f t="shared" si="1"/>
        <v>0.02013422819</v>
      </c>
      <c r="D15" s="8" t="s">
        <v>76</v>
      </c>
      <c r="E15" s="13"/>
      <c r="F15" s="13"/>
      <c r="G15" s="13"/>
      <c r="H15" s="13"/>
    </row>
    <row r="16">
      <c r="A16" s="7" t="s">
        <v>111</v>
      </c>
      <c r="B16" s="8">
        <v>3.0</v>
      </c>
      <c r="C16" s="12">
        <f t="shared" si="1"/>
        <v>0.02013422819</v>
      </c>
      <c r="D16" s="8" t="s">
        <v>76</v>
      </c>
      <c r="E16" s="13"/>
      <c r="F16" s="13"/>
      <c r="G16" s="13"/>
      <c r="H16" s="13"/>
    </row>
    <row r="17">
      <c r="A17" s="7" t="s">
        <v>116</v>
      </c>
      <c r="B17" s="8">
        <v>3.0</v>
      </c>
      <c r="C17" s="12">
        <f t="shared" si="1"/>
        <v>0.02013422819</v>
      </c>
      <c r="D17" s="8" t="s">
        <v>76</v>
      </c>
      <c r="E17" s="13"/>
      <c r="F17" s="13"/>
      <c r="G17" s="13"/>
      <c r="H17" s="13"/>
    </row>
    <row r="18">
      <c r="A18" s="7" t="s">
        <v>121</v>
      </c>
      <c r="B18" s="8">
        <v>2.0</v>
      </c>
      <c r="C18" s="12">
        <f t="shared" si="1"/>
        <v>0.01342281879</v>
      </c>
      <c r="D18" s="8" t="s">
        <v>94</v>
      </c>
      <c r="E18" s="13"/>
      <c r="F18" s="13"/>
      <c r="G18" s="13"/>
      <c r="H18" s="13"/>
    </row>
    <row r="19">
      <c r="A19" s="7" t="s">
        <v>125</v>
      </c>
      <c r="B19" s="8">
        <v>2.0</v>
      </c>
      <c r="C19" s="12">
        <f t="shared" si="1"/>
        <v>0.01342281879</v>
      </c>
      <c r="D19" s="8" t="s">
        <v>94</v>
      </c>
      <c r="E19" s="13"/>
      <c r="F19" s="13"/>
      <c r="G19" s="13"/>
      <c r="H19" s="13"/>
    </row>
    <row r="20">
      <c r="A20" s="7" t="s">
        <v>131</v>
      </c>
      <c r="B20" s="8">
        <v>2.0</v>
      </c>
      <c r="C20" s="12">
        <f t="shared" si="1"/>
        <v>0.01342281879</v>
      </c>
      <c r="D20" s="8" t="s">
        <v>76</v>
      </c>
      <c r="E20" s="13"/>
      <c r="F20" s="13"/>
      <c r="G20" s="13"/>
      <c r="H20" s="13"/>
    </row>
    <row r="21" ht="15.75" customHeight="1">
      <c r="A21" s="7" t="s">
        <v>132</v>
      </c>
      <c r="B21" s="8">
        <v>2.0</v>
      </c>
      <c r="C21" s="12">
        <f t="shared" si="1"/>
        <v>0.01342281879</v>
      </c>
      <c r="D21" s="8" t="s">
        <v>94</v>
      </c>
      <c r="E21" s="13"/>
      <c r="F21" s="13"/>
      <c r="G21" s="13"/>
      <c r="H21" s="13"/>
    </row>
    <row r="22" ht="15.75" customHeight="1">
      <c r="A22" s="7" t="s">
        <v>134</v>
      </c>
      <c r="B22" s="8">
        <v>2.0</v>
      </c>
      <c r="C22" s="12">
        <f t="shared" si="1"/>
        <v>0.01342281879</v>
      </c>
      <c r="D22" s="8" t="s">
        <v>94</v>
      </c>
      <c r="E22" s="13"/>
      <c r="F22" s="13"/>
      <c r="G22" s="13"/>
      <c r="H22" s="13"/>
    </row>
    <row r="23" ht="15.75" customHeight="1">
      <c r="A23" s="7" t="s">
        <v>138</v>
      </c>
      <c r="B23" s="8">
        <v>2.0</v>
      </c>
      <c r="C23" s="12">
        <f t="shared" si="1"/>
        <v>0.01342281879</v>
      </c>
      <c r="D23" s="8" t="s">
        <v>94</v>
      </c>
      <c r="E23" s="13"/>
      <c r="F23" s="13"/>
      <c r="G23" s="13"/>
      <c r="H23" s="13"/>
    </row>
    <row r="24" ht="15.75" customHeight="1">
      <c r="A24" s="7" t="s">
        <v>144</v>
      </c>
      <c r="B24" s="8">
        <v>2.0</v>
      </c>
      <c r="C24" s="12">
        <f t="shared" si="1"/>
        <v>0.01342281879</v>
      </c>
      <c r="D24" s="8" t="s">
        <v>76</v>
      </c>
      <c r="E24" s="13"/>
      <c r="F24" s="13"/>
      <c r="G24" s="13"/>
      <c r="H24" s="13"/>
    </row>
    <row r="25" ht="15.75" customHeight="1">
      <c r="A25" s="7" t="s">
        <v>150</v>
      </c>
      <c r="B25" s="8">
        <v>2.0</v>
      </c>
      <c r="C25" s="12">
        <f t="shared" si="1"/>
        <v>0.01342281879</v>
      </c>
      <c r="D25" s="8" t="s">
        <v>94</v>
      </c>
      <c r="E25" s="13"/>
      <c r="F25" s="13"/>
      <c r="G25" s="13"/>
      <c r="H25" s="13"/>
    </row>
    <row r="26" ht="15.75" customHeight="1">
      <c r="A26" s="7" t="s">
        <v>156</v>
      </c>
      <c r="B26" s="8">
        <v>2.0</v>
      </c>
      <c r="C26" s="12">
        <f t="shared" si="1"/>
        <v>0.01342281879</v>
      </c>
      <c r="D26" s="8" t="s">
        <v>94</v>
      </c>
      <c r="E26" s="13"/>
      <c r="F26" s="13"/>
      <c r="G26" s="13"/>
      <c r="H26" s="13"/>
    </row>
    <row r="27" ht="15.75" customHeight="1">
      <c r="A27" s="7" t="s">
        <v>159</v>
      </c>
      <c r="B27" s="8">
        <v>2.0</v>
      </c>
      <c r="C27" s="12">
        <f t="shared" si="1"/>
        <v>0.01342281879</v>
      </c>
      <c r="D27" s="8" t="s">
        <v>162</v>
      </c>
      <c r="E27" s="13"/>
      <c r="F27" s="13"/>
      <c r="G27" s="13"/>
      <c r="H27" s="13"/>
    </row>
    <row r="28" ht="15.75" customHeight="1">
      <c r="A28" s="7" t="s">
        <v>164</v>
      </c>
      <c r="B28" s="8">
        <v>2.0</v>
      </c>
      <c r="C28" s="12">
        <f t="shared" si="1"/>
        <v>0.01342281879</v>
      </c>
      <c r="D28" s="8" t="s">
        <v>94</v>
      </c>
      <c r="E28" s="13"/>
      <c r="F28" s="13"/>
      <c r="G28" s="13"/>
      <c r="H28" s="13"/>
    </row>
    <row r="29" ht="15.75" customHeight="1">
      <c r="A29" s="7" t="s">
        <v>183</v>
      </c>
      <c r="B29" s="8">
        <v>1.0</v>
      </c>
      <c r="C29" s="12">
        <f t="shared" si="1"/>
        <v>0.006711409396</v>
      </c>
      <c r="D29" s="8" t="s">
        <v>94</v>
      </c>
      <c r="E29" s="13"/>
      <c r="F29" s="13"/>
      <c r="G29" s="13"/>
      <c r="H29" s="13"/>
    </row>
    <row r="30" ht="15.75" customHeight="1">
      <c r="A30" s="7" t="s">
        <v>189</v>
      </c>
      <c r="B30" s="8">
        <v>1.0</v>
      </c>
      <c r="C30" s="12">
        <f t="shared" si="1"/>
        <v>0.006711409396</v>
      </c>
      <c r="D30" s="8" t="s">
        <v>76</v>
      </c>
      <c r="E30" s="13"/>
      <c r="F30" s="13"/>
      <c r="G30" s="13"/>
      <c r="H30" s="13"/>
    </row>
    <row r="31" ht="15.75" customHeight="1">
      <c r="A31" s="7" t="s">
        <v>197</v>
      </c>
      <c r="B31" s="8">
        <v>1.0</v>
      </c>
      <c r="C31" s="12">
        <f t="shared" si="1"/>
        <v>0.006711409396</v>
      </c>
      <c r="D31" s="8" t="s">
        <v>76</v>
      </c>
      <c r="E31" s="13"/>
      <c r="F31" s="13"/>
      <c r="G31" s="13"/>
      <c r="H31" s="13"/>
    </row>
    <row r="32" ht="15.75" customHeight="1">
      <c r="A32" s="7" t="s">
        <v>203</v>
      </c>
      <c r="B32" s="8">
        <v>1.0</v>
      </c>
      <c r="C32" s="12">
        <f t="shared" si="1"/>
        <v>0.006711409396</v>
      </c>
      <c r="D32" s="8" t="s">
        <v>94</v>
      </c>
      <c r="E32" s="13"/>
      <c r="F32" s="13"/>
      <c r="G32" s="13"/>
      <c r="H32" s="13"/>
    </row>
    <row r="33" ht="15.75" customHeight="1"/>
    <row r="34" ht="15.75" customHeight="1">
      <c r="A34" s="2" t="s">
        <v>211</v>
      </c>
      <c r="B34" s="21">
        <f>SUM(B5:B32)</f>
        <v>149</v>
      </c>
      <c r="D34" s="4" t="s">
        <v>225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F5:F32">
      <formula1>"sí,no"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B43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4.0"/>
    <col customWidth="1" min="2" max="2" width="52.0"/>
    <col customWidth="1" min="3" max="3" width="24.0"/>
    <col customWidth="1" min="4" max="4" width="16.0"/>
    <col customWidth="1" min="5" max="6" width="24.0"/>
    <col customWidth="1" min="7" max="26" width="8.71"/>
  </cols>
  <sheetData>
    <row r="1">
      <c r="A1" s="1" t="s">
        <v>110</v>
      </c>
    </row>
    <row r="2">
      <c r="A2" s="4" t="s">
        <v>112</v>
      </c>
    </row>
    <row r="4">
      <c r="A4" s="5" t="s">
        <v>29</v>
      </c>
      <c r="B4" s="5" t="s">
        <v>35</v>
      </c>
      <c r="C4" s="5" t="s">
        <v>37</v>
      </c>
      <c r="D4" s="5" t="s">
        <v>26</v>
      </c>
      <c r="E4" s="5" t="s">
        <v>119</v>
      </c>
      <c r="F4" s="5" t="s">
        <v>122</v>
      </c>
    </row>
    <row r="5">
      <c r="A5" s="8" t="s">
        <v>123</v>
      </c>
      <c r="B5" s="8" t="s">
        <v>124</v>
      </c>
      <c r="C5" s="8" t="s">
        <v>125</v>
      </c>
      <c r="D5" s="11">
        <v>968968.0</v>
      </c>
      <c r="E5" s="18" t="s">
        <v>128</v>
      </c>
      <c r="F5" s="13"/>
    </row>
    <row r="6">
      <c r="A6" s="8" t="s">
        <v>135</v>
      </c>
      <c r="B6" s="8" t="s">
        <v>136</v>
      </c>
      <c r="C6" s="8" t="s">
        <v>83</v>
      </c>
      <c r="D6" s="11">
        <v>1328580.0</v>
      </c>
      <c r="E6" s="18" t="s">
        <v>137</v>
      </c>
      <c r="F6" s="13"/>
    </row>
    <row r="7">
      <c r="A7" s="8" t="s">
        <v>139</v>
      </c>
      <c r="B7" s="8" t="s">
        <v>141</v>
      </c>
      <c r="C7" s="8" t="s">
        <v>95</v>
      </c>
      <c r="D7" s="11">
        <v>2983105.0</v>
      </c>
      <c r="E7" s="18" t="s">
        <v>128</v>
      </c>
      <c r="F7" s="13"/>
    </row>
    <row r="8">
      <c r="A8" s="8" t="s">
        <v>146</v>
      </c>
      <c r="B8" s="8" t="s">
        <v>147</v>
      </c>
      <c r="C8" s="8" t="s">
        <v>90</v>
      </c>
      <c r="D8" s="11">
        <v>650.0</v>
      </c>
      <c r="E8" s="18" t="s">
        <v>137</v>
      </c>
      <c r="F8" s="13"/>
    </row>
    <row r="9">
      <c r="A9" s="8" t="s">
        <v>148</v>
      </c>
      <c r="B9" s="8" t="s">
        <v>149</v>
      </c>
      <c r="C9" s="8" t="s">
        <v>95</v>
      </c>
      <c r="D9" s="11">
        <v>206668.0</v>
      </c>
      <c r="E9" s="18" t="s">
        <v>137</v>
      </c>
      <c r="F9" s="13"/>
    </row>
    <row r="10">
      <c r="A10" s="8" t="s">
        <v>152</v>
      </c>
      <c r="B10" s="8" t="s">
        <v>154</v>
      </c>
      <c r="C10" s="8" t="s">
        <v>131</v>
      </c>
      <c r="D10" s="11">
        <v>347000.0</v>
      </c>
      <c r="E10" s="18" t="s">
        <v>137</v>
      </c>
      <c r="F10" s="13"/>
    </row>
    <row r="11">
      <c r="A11" s="8" t="s">
        <v>157</v>
      </c>
      <c r="B11" s="8" t="s">
        <v>158</v>
      </c>
      <c r="C11" s="8" t="s">
        <v>131</v>
      </c>
      <c r="D11" s="11">
        <v>629200.0</v>
      </c>
      <c r="E11" s="18" t="s">
        <v>137</v>
      </c>
      <c r="F11" s="13"/>
    </row>
    <row r="12">
      <c r="A12" s="8" t="s">
        <v>160</v>
      </c>
      <c r="B12" s="8" t="s">
        <v>161</v>
      </c>
      <c r="C12" s="8" t="s">
        <v>111</v>
      </c>
      <c r="D12" s="11">
        <v>845000.0</v>
      </c>
      <c r="E12" s="18" t="s">
        <v>128</v>
      </c>
      <c r="F12" s="13"/>
    </row>
    <row r="13">
      <c r="A13" s="8" t="s">
        <v>163</v>
      </c>
      <c r="B13" s="8" t="s">
        <v>165</v>
      </c>
      <c r="C13" s="8" t="s">
        <v>111</v>
      </c>
      <c r="D13" s="11">
        <v>715000.0</v>
      </c>
      <c r="E13" s="18" t="s">
        <v>128</v>
      </c>
      <c r="F13" s="13"/>
    </row>
    <row r="14">
      <c r="A14" s="8" t="s">
        <v>168</v>
      </c>
      <c r="B14" s="8" t="s">
        <v>169</v>
      </c>
      <c r="C14" s="8" t="s">
        <v>98</v>
      </c>
      <c r="D14" s="11">
        <v>112.0</v>
      </c>
      <c r="E14" s="18" t="s">
        <v>171</v>
      </c>
      <c r="F14" s="13"/>
    </row>
    <row r="15">
      <c r="A15" s="8" t="s">
        <v>172</v>
      </c>
      <c r="B15" s="8" t="s">
        <v>174</v>
      </c>
      <c r="C15" s="8" t="s">
        <v>98</v>
      </c>
      <c r="D15" s="11">
        <v>139.0</v>
      </c>
      <c r="E15" s="18" t="s">
        <v>171</v>
      </c>
      <c r="F15" s="13"/>
    </row>
    <row r="16">
      <c r="A16" s="8" t="s">
        <v>177</v>
      </c>
      <c r="B16" s="8" t="s">
        <v>180</v>
      </c>
      <c r="C16" s="8" t="s">
        <v>98</v>
      </c>
      <c r="D16" s="11">
        <v>112.0</v>
      </c>
      <c r="E16" s="18" t="s">
        <v>171</v>
      </c>
      <c r="F16" s="13"/>
    </row>
    <row r="17">
      <c r="A17" s="8" t="s">
        <v>181</v>
      </c>
      <c r="B17" s="8" t="s">
        <v>182</v>
      </c>
      <c r="C17" s="8" t="s">
        <v>98</v>
      </c>
      <c r="D17" s="11">
        <v>112.0</v>
      </c>
      <c r="E17" s="18" t="s">
        <v>171</v>
      </c>
      <c r="F17" s="13"/>
    </row>
    <row r="18">
      <c r="A18" s="8" t="s">
        <v>186</v>
      </c>
      <c r="B18" s="8" t="s">
        <v>187</v>
      </c>
      <c r="C18" s="8" t="s">
        <v>132</v>
      </c>
      <c r="D18" s="11">
        <v>900.0</v>
      </c>
      <c r="E18" s="18" t="s">
        <v>137</v>
      </c>
      <c r="F18" s="13"/>
    </row>
    <row r="19">
      <c r="A19" s="8" t="s">
        <v>190</v>
      </c>
      <c r="B19" s="8" t="s">
        <v>191</v>
      </c>
      <c r="C19" s="8" t="s">
        <v>95</v>
      </c>
      <c r="D19" s="11">
        <v>54900.0</v>
      </c>
      <c r="E19" s="18" t="s">
        <v>192</v>
      </c>
      <c r="F19" s="13"/>
    </row>
    <row r="20">
      <c r="A20" s="8" t="s">
        <v>195</v>
      </c>
      <c r="B20" s="8" t="s">
        <v>196</v>
      </c>
      <c r="C20" s="8" t="s">
        <v>90</v>
      </c>
      <c r="D20" s="11">
        <v>990.0</v>
      </c>
      <c r="E20" s="18" t="s">
        <v>128</v>
      </c>
      <c r="F20" s="13"/>
    </row>
    <row r="21" ht="15.75" customHeight="1">
      <c r="A21" s="8" t="s">
        <v>198</v>
      </c>
      <c r="B21" s="8" t="s">
        <v>199</v>
      </c>
      <c r="C21" s="8" t="s">
        <v>109</v>
      </c>
      <c r="D21" s="11">
        <v>550.0</v>
      </c>
      <c r="E21" s="18" t="s">
        <v>137</v>
      </c>
      <c r="F21" s="13"/>
    </row>
    <row r="22" ht="15.75" customHeight="1">
      <c r="A22" s="8" t="s">
        <v>200</v>
      </c>
      <c r="B22" s="8" t="s">
        <v>202</v>
      </c>
      <c r="C22" s="8" t="s">
        <v>132</v>
      </c>
      <c r="D22" s="11">
        <v>850.0</v>
      </c>
      <c r="E22" s="18" t="s">
        <v>137</v>
      </c>
      <c r="F22" s="13"/>
    </row>
    <row r="23" ht="15.75" customHeight="1">
      <c r="A23" s="8" t="s">
        <v>205</v>
      </c>
      <c r="B23" s="8" t="s">
        <v>206</v>
      </c>
      <c r="C23" s="8" t="s">
        <v>83</v>
      </c>
      <c r="D23" s="11">
        <v>120.0</v>
      </c>
      <c r="E23" s="18" t="s">
        <v>208</v>
      </c>
      <c r="F23" s="13"/>
    </row>
    <row r="24" ht="15.75" customHeight="1">
      <c r="A24" s="8" t="s">
        <v>209</v>
      </c>
      <c r="B24" s="8" t="s">
        <v>210</v>
      </c>
      <c r="C24" s="8" t="s">
        <v>70</v>
      </c>
      <c r="D24" s="11">
        <v>850000.0</v>
      </c>
      <c r="E24" s="18" t="s">
        <v>137</v>
      </c>
      <c r="F24" s="13"/>
    </row>
    <row r="25" ht="15.75" customHeight="1">
      <c r="A25" s="8" t="s">
        <v>212</v>
      </c>
      <c r="B25" s="8" t="s">
        <v>214</v>
      </c>
      <c r="C25" s="8" t="s">
        <v>70</v>
      </c>
      <c r="D25" s="11">
        <v>200000.0</v>
      </c>
      <c r="E25" s="18" t="s">
        <v>208</v>
      </c>
      <c r="F25" s="13"/>
    </row>
    <row r="26" ht="15.75" customHeight="1">
      <c r="A26" s="8" t="s">
        <v>215</v>
      </c>
      <c r="B26" s="8" t="s">
        <v>216</v>
      </c>
      <c r="C26" s="8" t="s">
        <v>134</v>
      </c>
      <c r="D26" s="11">
        <v>1966250.0</v>
      </c>
      <c r="E26" s="18" t="s">
        <v>128</v>
      </c>
      <c r="F26" s="13"/>
    </row>
    <row r="27" ht="15.75" customHeight="1">
      <c r="A27" s="8" t="s">
        <v>217</v>
      </c>
      <c r="B27" s="8" t="s">
        <v>218</v>
      </c>
      <c r="C27" s="8" t="s">
        <v>111</v>
      </c>
      <c r="D27" s="11">
        <v>910000.0</v>
      </c>
      <c r="E27" s="18" t="s">
        <v>128</v>
      </c>
      <c r="F27" s="13"/>
    </row>
    <row r="28" ht="15.75" customHeight="1">
      <c r="A28" s="8" t="s">
        <v>221</v>
      </c>
      <c r="B28" s="8" t="s">
        <v>222</v>
      </c>
      <c r="C28" s="8" t="s">
        <v>138</v>
      </c>
      <c r="D28" s="11">
        <v>80000.0</v>
      </c>
      <c r="E28" s="18" t="s">
        <v>192</v>
      </c>
      <c r="F28" s="13"/>
    </row>
    <row r="29" ht="15.75" customHeight="1">
      <c r="A29" s="8" t="s">
        <v>224</v>
      </c>
      <c r="B29" s="8" t="s">
        <v>227</v>
      </c>
      <c r="C29" s="8" t="s">
        <v>138</v>
      </c>
      <c r="D29" s="11">
        <v>100000.0</v>
      </c>
      <c r="E29" s="18" t="s">
        <v>192</v>
      </c>
      <c r="F29" s="13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F5:F29">
      <formula1>"Textiles,Muebles,Vajilla,Canastos y cestería,Bandejas,Velas,Libros,Floreros y jarrones,Iluminación,Objetos y deco,Portavelas y candelabros"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B43"/>
    <pageSetUpPr/>
  </sheetPr>
  <sheetViews>
    <sheetView showGridLines="0" workbookViewId="0"/>
  </sheetViews>
  <sheetFormatPr customHeight="1" defaultColWidth="14.43" defaultRowHeight="15.0"/>
  <cols>
    <col customWidth="1" min="1" max="1" width="42.0"/>
    <col customWidth="1" min="2" max="2" width="16.0"/>
    <col customWidth="1" min="3" max="3" width="14.0"/>
    <col customWidth="1" min="4" max="4" width="44.0"/>
    <col customWidth="1" min="5" max="5" width="66.0"/>
    <col customWidth="1" min="6" max="26" width="8.71"/>
  </cols>
  <sheetData>
    <row r="1">
      <c r="A1" s="1" t="s">
        <v>257</v>
      </c>
    </row>
    <row r="2">
      <c r="A2" s="4" t="s">
        <v>258</v>
      </c>
    </row>
    <row r="4">
      <c r="A4" s="5" t="s">
        <v>259</v>
      </c>
      <c r="B4" s="5" t="s">
        <v>260</v>
      </c>
      <c r="C4" s="5" t="s">
        <v>261</v>
      </c>
      <c r="D4" s="5" t="s">
        <v>262</v>
      </c>
      <c r="E4" s="5" t="s">
        <v>263</v>
      </c>
    </row>
    <row r="5">
      <c r="A5" s="8" t="s">
        <v>264</v>
      </c>
      <c r="B5" s="8" t="s">
        <v>265</v>
      </c>
      <c r="C5" s="7" t="s">
        <v>266</v>
      </c>
      <c r="D5" s="8" t="s">
        <v>216</v>
      </c>
      <c r="E5" s="9" t="s">
        <v>267</v>
      </c>
    </row>
    <row r="6">
      <c r="A6" s="8" t="s">
        <v>268</v>
      </c>
      <c r="B6" s="8" t="s">
        <v>269</v>
      </c>
      <c r="C6" s="7" t="s">
        <v>270</v>
      </c>
      <c r="D6" s="8" t="s">
        <v>271</v>
      </c>
      <c r="E6" s="9" t="s">
        <v>272</v>
      </c>
    </row>
    <row r="7">
      <c r="A7" s="8" t="s">
        <v>273</v>
      </c>
      <c r="B7" s="8" t="s">
        <v>274</v>
      </c>
      <c r="C7" s="7" t="s">
        <v>275</v>
      </c>
      <c r="D7" s="8" t="s">
        <v>276</v>
      </c>
      <c r="E7" s="9" t="s">
        <v>277</v>
      </c>
    </row>
    <row r="8">
      <c r="A8" s="8" t="s">
        <v>278</v>
      </c>
      <c r="B8" s="8" t="s">
        <v>279</v>
      </c>
      <c r="C8" s="7" t="s">
        <v>275</v>
      </c>
      <c r="D8" s="8" t="s">
        <v>276</v>
      </c>
      <c r="E8" s="9" t="s">
        <v>280</v>
      </c>
    </row>
    <row r="9">
      <c r="A9" s="8" t="s">
        <v>281</v>
      </c>
      <c r="B9" s="8"/>
      <c r="C9" s="7" t="s">
        <v>282</v>
      </c>
      <c r="D9" s="8" t="s">
        <v>222</v>
      </c>
      <c r="E9" s="9" t="s">
        <v>283</v>
      </c>
    </row>
    <row r="10">
      <c r="A10" s="8" t="s">
        <v>284</v>
      </c>
      <c r="B10" s="8" t="s">
        <v>285</v>
      </c>
      <c r="C10" s="7" t="s">
        <v>286</v>
      </c>
      <c r="D10" s="8" t="s">
        <v>287</v>
      </c>
      <c r="E10" s="9" t="s">
        <v>288</v>
      </c>
    </row>
    <row r="11">
      <c r="A11" s="8" t="s">
        <v>289</v>
      </c>
      <c r="B11" s="8" t="s">
        <v>290</v>
      </c>
      <c r="C11" s="7" t="s">
        <v>291</v>
      </c>
      <c r="D11" s="8" t="s">
        <v>293</v>
      </c>
      <c r="E11" s="9" t="s">
        <v>294</v>
      </c>
    </row>
    <row r="12">
      <c r="A12" s="8" t="s">
        <v>295</v>
      </c>
      <c r="B12" s="8"/>
      <c r="C12" s="7" t="s">
        <v>296</v>
      </c>
      <c r="D12" s="8" t="s">
        <v>297</v>
      </c>
      <c r="E12" s="9" t="s">
        <v>298</v>
      </c>
    </row>
    <row r="13">
      <c r="A13" s="8" t="s">
        <v>299</v>
      </c>
      <c r="B13" s="8" t="s">
        <v>300</v>
      </c>
      <c r="C13" s="7" t="s">
        <v>301</v>
      </c>
      <c r="D13" s="8" t="s">
        <v>302</v>
      </c>
      <c r="E13" s="9" t="s">
        <v>303</v>
      </c>
    </row>
    <row r="15">
      <c r="A15" s="4" t="s">
        <v>304</v>
      </c>
    </row>
    <row r="16">
      <c r="A16" s="4" t="s">
        <v>305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B43"/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2" width="52.0"/>
    <col customWidth="1" min="3" max="3" width="24.0"/>
    <col customWidth="1" min="4" max="4" width="16.0"/>
    <col customWidth="1" min="5" max="5" width="18.0"/>
    <col customWidth="1" min="6" max="7" width="26.0"/>
    <col customWidth="1" min="8" max="26" width="8.71"/>
  </cols>
  <sheetData>
    <row r="1">
      <c r="A1" s="1" t="s">
        <v>310</v>
      </c>
    </row>
    <row r="2">
      <c r="A2" s="4" t="s">
        <v>313</v>
      </c>
    </row>
    <row r="4">
      <c r="A4" s="5" t="s">
        <v>315</v>
      </c>
      <c r="B4" s="5" t="s">
        <v>35</v>
      </c>
      <c r="C4" s="5" t="s">
        <v>37</v>
      </c>
      <c r="D4" s="5" t="s">
        <v>26</v>
      </c>
      <c r="E4" s="5" t="s">
        <v>316</v>
      </c>
      <c r="F4" s="5" t="s">
        <v>317</v>
      </c>
      <c r="G4" s="5" t="s">
        <v>319</v>
      </c>
    </row>
    <row r="5">
      <c r="A5" s="8" t="s">
        <v>320</v>
      </c>
      <c r="B5" s="8" t="s">
        <v>321</v>
      </c>
      <c r="C5" s="8" t="s">
        <v>95</v>
      </c>
      <c r="D5" s="11">
        <v>3129544.0</v>
      </c>
      <c r="E5" s="8" t="s">
        <v>175</v>
      </c>
      <c r="F5" s="8" t="s">
        <v>155</v>
      </c>
      <c r="G5" s="13"/>
    </row>
    <row r="6">
      <c r="A6" s="8" t="s">
        <v>323</v>
      </c>
      <c r="B6" s="8" t="s">
        <v>324</v>
      </c>
      <c r="C6" s="8" t="s">
        <v>95</v>
      </c>
      <c r="D6" s="11">
        <v>3129544.0</v>
      </c>
      <c r="E6" s="8" t="s">
        <v>85</v>
      </c>
      <c r="F6" s="8" t="s">
        <v>155</v>
      </c>
      <c r="G6" s="13"/>
    </row>
    <row r="7">
      <c r="A7" s="8" t="s">
        <v>327</v>
      </c>
      <c r="B7" s="8" t="s">
        <v>328</v>
      </c>
      <c r="C7" s="8" t="s">
        <v>72</v>
      </c>
      <c r="D7" s="11">
        <v>21000.0</v>
      </c>
      <c r="E7" s="8" t="s">
        <v>85</v>
      </c>
      <c r="F7" s="8" t="s">
        <v>329</v>
      </c>
      <c r="G7" s="13"/>
    </row>
    <row r="8">
      <c r="A8" s="8" t="s">
        <v>330</v>
      </c>
      <c r="B8" s="8" t="s">
        <v>332</v>
      </c>
      <c r="C8" s="8" t="s">
        <v>83</v>
      </c>
      <c r="D8" s="11">
        <v>177144.0</v>
      </c>
      <c r="E8" s="8" t="s">
        <v>85</v>
      </c>
      <c r="F8" s="8" t="s">
        <v>155</v>
      </c>
      <c r="G8" s="13"/>
    </row>
    <row r="9">
      <c r="A9" s="8" t="s">
        <v>337</v>
      </c>
      <c r="B9" s="8" t="s">
        <v>338</v>
      </c>
      <c r="C9" s="8" t="s">
        <v>102</v>
      </c>
      <c r="D9" s="11">
        <v>976.0</v>
      </c>
      <c r="E9" s="8" t="s">
        <v>126</v>
      </c>
      <c r="F9" s="8"/>
      <c r="G9" s="1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G5:G9">
      <formula1>"Reponer,Buscar de nuevo,Dar de baja"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B43"/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58.0"/>
    <col customWidth="1" min="3" max="3" width="70.0"/>
    <col customWidth="1" min="4" max="4" width="22.0"/>
    <col customWidth="1" min="5" max="5" width="34.0"/>
    <col customWidth="1" min="6" max="26" width="8.71"/>
  </cols>
  <sheetData>
    <row r="1">
      <c r="A1" s="1" t="s">
        <v>354</v>
      </c>
    </row>
    <row r="2">
      <c r="A2" s="4" t="s">
        <v>355</v>
      </c>
    </row>
    <row r="4">
      <c r="A4" s="5" t="s">
        <v>359</v>
      </c>
      <c r="B4" s="5" t="s">
        <v>360</v>
      </c>
      <c r="C4" s="5" t="s">
        <v>362</v>
      </c>
      <c r="D4" s="5" t="s">
        <v>363</v>
      </c>
      <c r="E4" s="5" t="s">
        <v>364</v>
      </c>
    </row>
    <row r="5" ht="33.75" customHeight="1">
      <c r="A5" s="7">
        <v>1.0</v>
      </c>
      <c r="B5" s="9" t="s">
        <v>369</v>
      </c>
      <c r="C5" s="9" t="s">
        <v>370</v>
      </c>
      <c r="D5" s="8" t="s">
        <v>371</v>
      </c>
      <c r="E5" s="13"/>
    </row>
    <row r="6" ht="33.75" customHeight="1">
      <c r="A6" s="7">
        <v>2.0</v>
      </c>
      <c r="B6" s="9" t="s">
        <v>373</v>
      </c>
      <c r="C6" s="9" t="s">
        <v>374</v>
      </c>
      <c r="D6" s="8" t="s">
        <v>79</v>
      </c>
      <c r="E6" s="13"/>
    </row>
    <row r="7" ht="33.75" customHeight="1">
      <c r="A7" s="7">
        <v>3.0</v>
      </c>
      <c r="B7" s="9" t="s">
        <v>377</v>
      </c>
      <c r="C7" s="9" t="s">
        <v>378</v>
      </c>
      <c r="D7" s="8" t="s">
        <v>380</v>
      </c>
      <c r="E7" s="13"/>
    </row>
    <row r="8" ht="33.75" customHeight="1">
      <c r="A8" s="7">
        <v>4.0</v>
      </c>
      <c r="B8" s="9" t="s">
        <v>381</v>
      </c>
      <c r="C8" s="9" t="s">
        <v>382</v>
      </c>
      <c r="D8" s="8" t="s">
        <v>383</v>
      </c>
      <c r="E8" s="13"/>
    </row>
    <row r="9" ht="33.75" customHeight="1">
      <c r="A9" s="7">
        <v>5.0</v>
      </c>
      <c r="B9" s="9" t="s">
        <v>384</v>
      </c>
      <c r="C9" s="9" t="s">
        <v>385</v>
      </c>
      <c r="D9" s="8" t="s">
        <v>386</v>
      </c>
      <c r="E9" s="13"/>
    </row>
    <row r="10" ht="33.75" customHeight="1">
      <c r="A10" s="7">
        <v>6.0</v>
      </c>
      <c r="B10" s="9" t="s">
        <v>387</v>
      </c>
      <c r="C10" s="9" t="s">
        <v>388</v>
      </c>
      <c r="D10" s="8" t="s">
        <v>383</v>
      </c>
      <c r="E10" s="13"/>
    </row>
    <row r="11" ht="33.75" customHeight="1">
      <c r="A11" s="7">
        <v>7.0</v>
      </c>
      <c r="B11" s="9" t="s">
        <v>390</v>
      </c>
      <c r="C11" s="9" t="s">
        <v>391</v>
      </c>
      <c r="D11" s="8" t="s">
        <v>392</v>
      </c>
      <c r="E11" s="13"/>
    </row>
    <row r="12" ht="33.75" customHeight="1">
      <c r="A12" s="7">
        <v>8.0</v>
      </c>
      <c r="B12" s="9" t="s">
        <v>393</v>
      </c>
      <c r="C12" s="9" t="s">
        <v>394</v>
      </c>
      <c r="D12" s="8" t="s">
        <v>383</v>
      </c>
      <c r="E12" s="13"/>
    </row>
    <row r="13" ht="33.75" customHeight="1">
      <c r="A13" s="7">
        <v>9.0</v>
      </c>
      <c r="B13" s="9" t="s">
        <v>395</v>
      </c>
      <c r="C13" s="9" t="s">
        <v>396</v>
      </c>
      <c r="D13" s="8" t="s">
        <v>383</v>
      </c>
      <c r="E13" s="13"/>
    </row>
    <row r="14" ht="33.75" customHeight="1">
      <c r="A14" s="7">
        <v>10.0</v>
      </c>
      <c r="B14" s="9" t="s">
        <v>397</v>
      </c>
      <c r="C14" s="9" t="s">
        <v>398</v>
      </c>
      <c r="D14" s="8" t="s">
        <v>380</v>
      </c>
      <c r="E14" s="1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